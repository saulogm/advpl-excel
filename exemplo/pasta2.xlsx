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43a503b00c00ff/CLIENTES/TOTVS/workspace/advpl-excel-git/advpl-excel/exemplo/"/>
    </mc:Choice>
  </mc:AlternateContent>
  <xr:revisionPtr revIDLastSave="0" documentId="8_{DA742F91-0F91-499C-9E18-B2ECB4EF325E}" xr6:coauthVersionLast="47" xr6:coauthVersionMax="47" xr10:uidLastSave="{00000000-0000-0000-0000-000000000000}"/>
  <bookViews>
    <workbookView xWindow="-120" yWindow="-120" windowWidth="38640" windowHeight="23520" tabRatio="637" xr2:uid="{00000000-000D-0000-FFFF-FFFF00000000}"/>
  </bookViews>
  <sheets>
    <sheet name="Planilha1" sheetId="1" r:id="rId1"/>
    <sheet name="Teste" sheetId="2" r:id="rId2"/>
    <sheet name="Tabela" sheetId="3" r:id="rId3"/>
    <sheet name="SB1" sheetId="4" r:id="rId4"/>
    <sheet name="SA1" sheetId="5" r:id="rId5"/>
    <sheet name="FormatCondAvancada" sheetId="6" r:id="rId6"/>
    <sheet name="Dashboard" sheetId="7" r:id="rId7"/>
    <sheet name="GraficosBasicos" sheetId="8" r:id="rId8"/>
    <sheet name="GraficosAvancados" sheetId="9" r:id="rId9"/>
    <sheet name="GraficoCombinado" sheetId="10" r:id="rId10"/>
  </sheets>
  <definedNames>
    <definedName name="_xlnm.Print_Titles" localSheetId="2">Tabela!$1:$1</definedName>
    <definedName name="VALOR1">Planilha1!$A$5</definedName>
    <definedName name="VALORES">Planilha1!$A$5:$C$5</definedName>
    <definedName name="VENDA1">Teste!$C$2:$C$10</definedName>
    <definedName name="VENDA10">Teste!$C$92:$C$100</definedName>
    <definedName name="VENDA11">Teste!$C$102:$C$110</definedName>
    <definedName name="VENDA2">Teste!$C$12:$C$20</definedName>
    <definedName name="VENDA3">Teste!$C$22:$C$30</definedName>
    <definedName name="VENDA4">Teste!$C$32:$C$40</definedName>
    <definedName name="VENDA5">Teste!$C$42:$C$50</definedName>
    <definedName name="VENDA6">Teste!$C$52:$C$60</definedName>
    <definedName name="VENDA7">Teste!$C$62:$C$70</definedName>
    <definedName name="VENDA8">Teste!$C$72:$C$80</definedName>
    <definedName name="VENDA9">Teste!$C$82:$C$90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7" l="1"/>
  <c r="F7" i="7" s="1"/>
  <c r="D44" i="7"/>
  <c r="C44" i="7"/>
  <c r="H43" i="7"/>
  <c r="N8" i="7" s="1"/>
  <c r="G43" i="7"/>
  <c r="J8" i="7" s="1"/>
  <c r="H42" i="7"/>
  <c r="G42" i="7"/>
  <c r="H41" i="7"/>
  <c r="G41" i="7"/>
  <c r="H40" i="7"/>
  <c r="G40" i="7"/>
  <c r="H39" i="7"/>
  <c r="G39" i="7"/>
  <c r="H38" i="7"/>
  <c r="G38" i="7"/>
  <c r="N37" i="7"/>
  <c r="K37" i="7"/>
  <c r="O37" i="7" s="1"/>
  <c r="H37" i="7"/>
  <c r="G37" i="7"/>
  <c r="P36" i="7"/>
  <c r="L36" i="7"/>
  <c r="H36" i="7"/>
  <c r="G36" i="7"/>
  <c r="P35" i="7"/>
  <c r="L35" i="7"/>
  <c r="H35" i="7"/>
  <c r="G35" i="7"/>
  <c r="P34" i="7"/>
  <c r="L34" i="7"/>
  <c r="H34" i="7"/>
  <c r="G34" i="7"/>
  <c r="P33" i="7"/>
  <c r="L33" i="7"/>
  <c r="H33" i="7"/>
  <c r="G33" i="7"/>
  <c r="P32" i="7"/>
  <c r="L32" i="7"/>
  <c r="L37" i="7" s="1"/>
  <c r="H32" i="7"/>
  <c r="G32" i="7"/>
  <c r="F8" i="7"/>
  <c r="B8" i="7"/>
  <c r="A3" i="5"/>
  <c r="C101" i="3"/>
  <c r="B101" i="3"/>
  <c r="C111" i="2"/>
  <c r="F110" i="2"/>
  <c r="F109" i="2"/>
  <c r="F108" i="2"/>
  <c r="F107" i="2"/>
  <c r="F106" i="2"/>
  <c r="F105" i="2"/>
  <c r="F104" i="2"/>
  <c r="F103" i="2"/>
  <c r="F102" i="2"/>
  <c r="F111" i="2" s="1"/>
  <c r="C101" i="2"/>
  <c r="F100" i="2"/>
  <c r="F99" i="2"/>
  <c r="F98" i="2"/>
  <c r="F97" i="2"/>
  <c r="F96" i="2"/>
  <c r="F95" i="2"/>
  <c r="F94" i="2"/>
  <c r="F93" i="2"/>
  <c r="F92" i="2"/>
  <c r="F101" i="2" s="1"/>
  <c r="C91" i="2"/>
  <c r="F90" i="2"/>
  <c r="F89" i="2"/>
  <c r="F88" i="2"/>
  <c r="F87" i="2"/>
  <c r="F86" i="2"/>
  <c r="F85" i="2"/>
  <c r="F84" i="2"/>
  <c r="F83" i="2"/>
  <c r="F82" i="2"/>
  <c r="F91" i="2" s="1"/>
  <c r="C81" i="2"/>
  <c r="F80" i="2"/>
  <c r="F79" i="2"/>
  <c r="F78" i="2"/>
  <c r="F77" i="2"/>
  <c r="F76" i="2"/>
  <c r="F75" i="2"/>
  <c r="F74" i="2"/>
  <c r="F73" i="2"/>
  <c r="F72" i="2"/>
  <c r="F81" i="2" s="1"/>
  <c r="C71" i="2"/>
  <c r="F70" i="2"/>
  <c r="F69" i="2"/>
  <c r="F68" i="2"/>
  <c r="F67" i="2"/>
  <c r="F66" i="2"/>
  <c r="F65" i="2"/>
  <c r="F64" i="2"/>
  <c r="F63" i="2"/>
  <c r="F62" i="2"/>
  <c r="F71" i="2" s="1"/>
  <c r="C61" i="2"/>
  <c r="F60" i="2"/>
  <c r="F59" i="2"/>
  <c r="F58" i="2"/>
  <c r="F57" i="2"/>
  <c r="F56" i="2"/>
  <c r="F55" i="2"/>
  <c r="F54" i="2"/>
  <c r="F53" i="2"/>
  <c r="F52" i="2"/>
  <c r="F61" i="2" s="1"/>
  <c r="C51" i="2"/>
  <c r="F50" i="2"/>
  <c r="F49" i="2"/>
  <c r="F48" i="2"/>
  <c r="F47" i="2"/>
  <c r="F46" i="2"/>
  <c r="F45" i="2"/>
  <c r="F44" i="2"/>
  <c r="F43" i="2"/>
  <c r="F42" i="2"/>
  <c r="F51" i="2" s="1"/>
  <c r="C41" i="2"/>
  <c r="F40" i="2"/>
  <c r="F39" i="2"/>
  <c r="F38" i="2"/>
  <c r="F37" i="2"/>
  <c r="F36" i="2"/>
  <c r="F35" i="2"/>
  <c r="F34" i="2"/>
  <c r="F33" i="2"/>
  <c r="F32" i="2"/>
  <c r="F41" i="2" s="1"/>
  <c r="C31" i="2"/>
  <c r="F30" i="2"/>
  <c r="F29" i="2"/>
  <c r="F28" i="2"/>
  <c r="F27" i="2"/>
  <c r="F26" i="2"/>
  <c r="F25" i="2"/>
  <c r="F24" i="2"/>
  <c r="F23" i="2"/>
  <c r="F22" i="2"/>
  <c r="F31" i="2" s="1"/>
  <c r="C21" i="2"/>
  <c r="F20" i="2"/>
  <c r="F19" i="2"/>
  <c r="F18" i="2"/>
  <c r="F17" i="2"/>
  <c r="F16" i="2"/>
  <c r="F15" i="2"/>
  <c r="F14" i="2"/>
  <c r="F13" i="2"/>
  <c r="F21" i="2" s="1"/>
  <c r="F12" i="2"/>
  <c r="C11" i="2"/>
  <c r="C112" i="2" s="1"/>
  <c r="F10" i="2"/>
  <c r="F9" i="2"/>
  <c r="F8" i="2"/>
  <c r="F7" i="2"/>
  <c r="F6" i="2"/>
  <c r="F5" i="2"/>
  <c r="F4" i="2"/>
  <c r="F3" i="2"/>
  <c r="F2" i="2"/>
  <c r="F11" i="2" s="1"/>
  <c r="F112" i="2" s="1"/>
  <c r="B25" i="1"/>
  <c r="C6" i="1"/>
  <c r="D6" i="1" s="1"/>
  <c r="A6" i="1"/>
  <c r="B6" i="1" s="1"/>
  <c r="B7" i="7" l="1"/>
  <c r="H44" i="7"/>
  <c r="N7" i="7" s="1"/>
  <c r="G44" i="7"/>
  <c r="J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Mestre Jedi</author>
  </authors>
  <commentList>
    <comment ref="B22" authorId="0" shapeId="0" xr:uid="{00000000-0006-0000-0000-000001000000}">
      <text>
        <r>
          <rPr>
            <b/>
            <sz val="11"/>
            <rFont val="Calibri"/>
            <family val="2"/>
          </rPr>
          <t>Que a Força esteja com você!</t>
        </r>
      </text>
    </comment>
  </commentList>
</comments>
</file>

<file path=xl/sharedStrings.xml><?xml version="1.0" encoding="utf-8"?>
<sst xmlns="http://schemas.openxmlformats.org/spreadsheetml/2006/main" count="384" uniqueCount="122">
  <si>
    <t>TESTE EXCEL</t>
  </si>
  <si>
    <t>Olá Mundo!</t>
  </si>
  <si>
    <t>Texto grande para quebra em linhas</t>
  </si>
  <si>
    <t>Negrito,Italico,Sublinhado,Tachado</t>
  </si>
  <si>
    <t>Texto 45º</t>
  </si>
  <si>
    <t>FORMATAÇÃO CONDICIONAL</t>
  </si>
  <si>
    <t>Link Planilha Teste</t>
  </si>
  <si>
    <t>Texto com recuo esquerdo</t>
  </si>
  <si>
    <t>Texto com recuo direito</t>
  </si>
  <si>
    <t>Senha 123</t>
  </si>
  <si>
    <t>Linha</t>
  </si>
  <si>
    <t>Filial</t>
  </si>
  <si>
    <t>Venda</t>
  </si>
  <si>
    <t>Numero</t>
  </si>
  <si>
    <t>Data Venda</t>
  </si>
  <si>
    <t>Venda x Numero</t>
  </si>
  <si>
    <t>Filial 1</t>
  </si>
  <si>
    <t>Sub Total Filial</t>
  </si>
  <si>
    <t>1</t>
  </si>
  <si>
    <t/>
  </si>
  <si>
    <t>Filial 2</t>
  </si>
  <si>
    <t>2</t>
  </si>
  <si>
    <t>Filial 3</t>
  </si>
  <si>
    <t>3</t>
  </si>
  <si>
    <t>Filial 4</t>
  </si>
  <si>
    <t>4</t>
  </si>
  <si>
    <t>Filial 5</t>
  </si>
  <si>
    <t>5</t>
  </si>
  <si>
    <t>Filial 6</t>
  </si>
  <si>
    <t>6</t>
  </si>
  <si>
    <t>Filial 7</t>
  </si>
  <si>
    <t>7</t>
  </si>
  <si>
    <t>Filial 8</t>
  </si>
  <si>
    <t>8</t>
  </si>
  <si>
    <t>Filial 9</t>
  </si>
  <si>
    <t>9</t>
  </si>
  <si>
    <t>Filial 10</t>
  </si>
  <si>
    <t>10</t>
  </si>
  <si>
    <t>Filial 11</t>
  </si>
  <si>
    <t>11</t>
  </si>
  <si>
    <t>Total Geral</t>
  </si>
  <si>
    <t>TOTAL</t>
  </si>
  <si>
    <t>Cadastro de produtos</t>
  </si>
  <si>
    <t>Grupo</t>
  </si>
  <si>
    <t>Codigo</t>
  </si>
  <si>
    <t>Descricao</t>
  </si>
  <si>
    <t>Tipo</t>
  </si>
  <si>
    <t>Unidade</t>
  </si>
  <si>
    <t>Armazem Pad.</t>
  </si>
  <si>
    <t>Aliq. ICMS</t>
  </si>
  <si>
    <t>Preco Venda</t>
  </si>
  <si>
    <t>Rastro</t>
  </si>
  <si>
    <t>Ult. Revisao</t>
  </si>
  <si>
    <t>Registro</t>
  </si>
  <si>
    <t>CNPJ/CPF</t>
  </si>
  <si>
    <t>Código do Cliente</t>
  </si>
  <si>
    <t>Loja</t>
  </si>
  <si>
    <t>Fisica/Jurid</t>
  </si>
  <si>
    <t>Nome</t>
  </si>
  <si>
    <t>Desconto</t>
  </si>
  <si>
    <t>Lim. Credito</t>
  </si>
  <si>
    <t>Maior Saldo</t>
  </si>
  <si>
    <t>Maior Compra</t>
  </si>
  <si>
    <t>Ult. Compra</t>
  </si>
  <si>
    <t>Rec.COFINS</t>
  </si>
  <si>
    <t>Valor</t>
  </si>
  <si>
    <t>Barra</t>
  </si>
  <si>
    <t>Icones</t>
  </si>
  <si>
    <t>Data</t>
  </si>
  <si>
    <t>Ana</t>
  </si>
  <si>
    <t>Bruno</t>
  </si>
  <si>
    <t>Carlos</t>
  </si>
  <si>
    <t>Diego</t>
  </si>
  <si>
    <t>Painel de Vendas 2026</t>
  </si>
  <si>
    <t>Atualizado em 26/10/26</t>
  </si>
  <si>
    <t>Faturamento, pedidos e metas · visão consolidada por mês e região</t>
  </si>
  <si>
    <t>FATURAMENTO</t>
  </si>
  <si>
    <t>PEDIDOS</t>
  </si>
  <si>
    <t>TICKET MÉDIO</t>
  </si>
  <si>
    <t>ATINGIMENTO DA META</t>
  </si>
  <si>
    <t>vs mês anterior</t>
  </si>
  <si>
    <t>Evolução mensal</t>
  </si>
  <si>
    <t>Desempenho por região</t>
  </si>
  <si>
    <t>Mês</t>
  </si>
  <si>
    <t>Faturamento</t>
  </si>
  <si>
    <t>Meta</t>
  </si>
  <si>
    <t>Pedidos</t>
  </si>
  <si>
    <t>Ticket médio</t>
  </si>
  <si>
    <t>Atingimento</t>
  </si>
  <si>
    <t>Região</t>
  </si>
  <si>
    <t>Participação</t>
  </si>
  <si>
    <t>Margem</t>
  </si>
  <si>
    <t>Status</t>
  </si>
  <si>
    <t>Jan</t>
  </si>
  <si>
    <t>Sudeste</t>
  </si>
  <si>
    <t>Fev</t>
  </si>
  <si>
    <t>Sul</t>
  </si>
  <si>
    <t>Mar</t>
  </si>
  <si>
    <t>Nordeste</t>
  </si>
  <si>
    <t>Abr</t>
  </si>
  <si>
    <t>Centro-Oeste</t>
  </si>
  <si>
    <t>Mai</t>
  </si>
  <si>
    <t>Norte</t>
  </si>
  <si>
    <t>Jun</t>
  </si>
  <si>
    <t>Total</t>
  </si>
  <si>
    <t>Jul</t>
  </si>
  <si>
    <t>Ago</t>
  </si>
  <si>
    <t>Set</t>
  </si>
  <si>
    <t>Out</t>
  </si>
  <si>
    <t>Nov</t>
  </si>
  <si>
    <t>Dez</t>
  </si>
  <si>
    <t>Temperatura</t>
  </si>
  <si>
    <t>Sorvetes</t>
  </si>
  <si>
    <t>Dia</t>
  </si>
  <si>
    <t>Abertura</t>
  </si>
  <si>
    <t>Máxima</t>
  </si>
  <si>
    <t>Mínima</t>
  </si>
  <si>
    <t>Fechamento</t>
  </si>
  <si>
    <t>X</t>
  </si>
  <si>
    <t>Y</t>
  </si>
  <si>
    <t>Tamanho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</si>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</sst>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164" formatCode="dd/mm/yyyy\ hh:mm\ AM/PM;@"/>
    <numFmt numFmtId="165" formatCode="_(#,##0.000_);[Red]\(#,##0.000\);_(#,##0.000_);@"/>
    <numFmt numFmtId="166" formatCode="[$-416]mmm\-aaa;@"/>
    <numFmt numFmtId="167" formatCode="hh:mm:ss;@"/>
    <numFmt numFmtId="170" formatCode="_-#,##0.00;\-#,##0.00;_-#,##0.00;@"/>
    <numFmt numFmtId="171" formatCode="&quot;R$ &quot;#,##0"/>
    <numFmt numFmtId="172" formatCode="&quot;R$ &quot;#,##0.00"/>
    <numFmt numFmtId="173" formatCode="0.0%"/>
    <numFmt numFmtId="174" formatCode="\+0.0%;\-0.0%;0.0%"/>
  </numFmts>
  <fonts count="14" x14ac:knownFonts="1">
    <font>
      <sz val="11"/>
      <color rgb="FF000000"/>
      <name val="Calibri"/>
      <family val="2"/>
    </font>
    <font>
      <sz val="20"/>
      <color rgb="FFFFFFFF"/>
      <name val="Arial"/>
      <family val="2"/>
    </font>
    <font>
      <b/>
      <i/>
      <strike/>
      <u/>
      <sz val="20"/>
      <color indexed="56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u/>
      <sz val="11"/>
      <color rgb="FF0000FF"/>
      <name val="Calibri"/>
      <family val="2"/>
    </font>
    <font>
      <b/>
      <sz val="22"/>
      <color rgb="FFF8FAFC"/>
      <name val="Segoe UI"/>
      <family val="2"/>
    </font>
    <font>
      <sz val="10"/>
      <color rgb="FF94A3B8"/>
      <name val="Segoe UI"/>
      <family val="2"/>
    </font>
    <font>
      <b/>
      <sz val="9"/>
      <color rgb="FF94A3B8"/>
      <name val="Segoe UI"/>
      <family val="2"/>
    </font>
    <font>
      <b/>
      <sz val="10"/>
      <color rgb="FFE2E8F0"/>
      <name val="Segoe UI"/>
      <family val="2"/>
    </font>
    <font>
      <b/>
      <sz val="12"/>
      <color rgb="FFE2E8F0"/>
      <name val="Segoe UI"/>
      <family val="2"/>
    </font>
    <font>
      <sz val="10"/>
      <color rgb="FFE2E8F0"/>
      <name val="Segoe UI"/>
      <family val="2"/>
    </font>
    <font>
      <b/>
      <sz val="10"/>
      <color rgb="FFF8FAFC"/>
      <name val="Segoe U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4F81BD"/>
      </patternFill>
    </fill>
    <fill>
      <gradientFill degree="90">
        <stop position="0">
          <color rgb="FFFFFFFF"/>
        </stop>
        <stop position="1">
          <color rgb="FF0072C4"/>
        </stop>
      </gradientFill>
    </fill>
    <fill>
      <gradientFill type="path" left="0.2" right="0.8" top="0.2" bottom="0.8">
        <stop position="0">
          <color rgb="FFFFFFFF"/>
        </stop>
        <stop position="1">
          <color rgb="FF0072C4"/>
        </stop>
      </gradient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72033"/>
      </patternFill>
    </fill>
    <fill>
      <patternFill patternType="solid">
        <fgColor rgb="FF334155"/>
      </patternFill>
    </fill>
    <fill>
      <patternFill patternType="solid">
        <fgColor rgb="FF38BDF8"/>
      </patternFill>
    </fill>
    <fill>
      <patternFill patternType="solid">
        <fgColor rgb="FF22C55E"/>
      </patternFill>
    </fill>
    <fill>
      <patternFill patternType="solid">
        <fgColor rgb="FFF97316"/>
      </patternFill>
    </fill>
    <fill>
      <patternFill patternType="solid">
        <fgColor rgb="FFA855F7"/>
      </patternFill>
    </fill>
  </fills>
  <borders count="4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4155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44" fontId="0" fillId="0" borderId="0" xfId="0" applyNumberFormat="1" applyAlignment="1">
      <alignment textRotation="45"/>
    </xf>
    <xf numFmtId="165" fontId="0" fillId="0" borderId="0" xfId="0" applyNumberFormat="1"/>
    <xf numFmtId="4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6" borderId="0" xfId="0" applyFill="1"/>
    <xf numFmtId="0" fontId="0" fillId="7" borderId="0" xfId="0" applyFill="1"/>
    <xf numFmtId="0" fontId="5" fillId="0" borderId="0" xfId="0" applyFont="1"/>
    <xf numFmtId="0" fontId="0" fillId="0" borderId="0" xfId="0" applyAlignment="1">
      <alignment horizontal="left" indent="2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3" fillId="5" borderId="0" xfId="0" applyFont="1" applyFill="1"/>
    <xf numFmtId="0" fontId="0" fillId="4" borderId="2" xfId="0" applyFill="1" applyBorder="1"/>
    <xf numFmtId="44" fontId="0" fillId="4" borderId="2" xfId="0" applyNumberFormat="1" applyFill="1" applyBorder="1"/>
    <xf numFmtId="165" fontId="4" fillId="4" borderId="2" xfId="0" applyNumberFormat="1" applyFont="1" applyFill="1" applyBorder="1"/>
    <xf numFmtId="14" fontId="0" fillId="4" borderId="2" xfId="0" applyNumberFormat="1" applyFill="1" applyBorder="1"/>
    <xf numFmtId="0" fontId="0" fillId="3" borderId="2" xfId="0" applyFill="1" applyBorder="1"/>
    <xf numFmtId="44" fontId="0" fillId="3" borderId="2" xfId="0" applyNumberFormat="1" applyFill="1" applyBorder="1"/>
    <xf numFmtId="165" fontId="4" fillId="3" borderId="2" xfId="0" applyNumberFormat="1" applyFont="1" applyFill="1" applyBorder="1"/>
    <xf numFmtId="14" fontId="0" fillId="3" borderId="2" xfId="0" applyNumberFormat="1" applyFill="1" applyBorder="1"/>
    <xf numFmtId="0" fontId="3" fillId="5" borderId="2" xfId="0" applyFont="1" applyFill="1" applyBorder="1"/>
    <xf numFmtId="44" fontId="3" fillId="5" borderId="2" xfId="0" applyNumberFormat="1" applyFont="1" applyFill="1" applyBorder="1"/>
    <xf numFmtId="165" fontId="4" fillId="5" borderId="2" xfId="0" applyNumberFormat="1" applyFont="1" applyFill="1" applyBorder="1"/>
    <xf numFmtId="170" fontId="0" fillId="0" borderId="0" xfId="0" applyNumberFormat="1"/>
    <xf numFmtId="0" fontId="0" fillId="8" borderId="0" xfId="0" applyFill="1"/>
    <xf numFmtId="0" fontId="0" fillId="12" borderId="0" xfId="0" applyFill="1"/>
    <xf numFmtId="174" fontId="9" fillId="9" borderId="0" xfId="0" applyNumberFormat="1" applyFont="1" applyFill="1" applyAlignment="1">
      <alignment horizontal="left" vertical="center" indent="1"/>
    </xf>
    <xf numFmtId="0" fontId="0" fillId="9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8" fillId="9" borderId="3" xfId="0" applyFont="1" applyFill="1" applyBorder="1" applyAlignment="1">
      <alignment horizontal="left" vertical="center" indent="1"/>
    </xf>
    <xf numFmtId="0" fontId="8" fillId="9" borderId="3" xfId="0" applyFont="1" applyFill="1" applyBorder="1" applyAlignment="1">
      <alignment horizontal="right" vertical="center" indent="1"/>
    </xf>
    <xf numFmtId="0" fontId="11" fillId="9" borderId="0" xfId="0" applyFont="1" applyFill="1" applyAlignment="1">
      <alignment horizontal="left" vertical="center" indent="1"/>
    </xf>
    <xf numFmtId="171" fontId="11" fillId="9" borderId="0" xfId="0" applyNumberFormat="1" applyFont="1" applyFill="1" applyAlignment="1">
      <alignment horizontal="right" vertical="center" indent="1"/>
    </xf>
    <xf numFmtId="3" fontId="11" fillId="9" borderId="0" xfId="0" applyNumberFormat="1" applyFont="1" applyFill="1" applyAlignment="1">
      <alignment horizontal="right" vertical="center" indent="1"/>
    </xf>
    <xf numFmtId="172" fontId="11" fillId="9" borderId="0" xfId="0" applyNumberFormat="1" applyFont="1" applyFill="1" applyAlignment="1">
      <alignment horizontal="right" vertical="center" indent="1"/>
    </xf>
    <xf numFmtId="173" fontId="11" fillId="9" borderId="0" xfId="0" applyNumberFormat="1" applyFont="1" applyFill="1" applyAlignment="1">
      <alignment horizontal="right" vertical="center" indent="1"/>
    </xf>
    <xf numFmtId="0" fontId="11" fillId="10" borderId="0" xfId="0" applyFont="1" applyFill="1" applyAlignment="1">
      <alignment horizontal="left" vertical="center" indent="1"/>
    </xf>
    <xf numFmtId="171" fontId="11" fillId="10" borderId="0" xfId="0" applyNumberFormat="1" applyFont="1" applyFill="1" applyAlignment="1">
      <alignment horizontal="right" vertical="center" indent="1"/>
    </xf>
    <xf numFmtId="3" fontId="11" fillId="10" borderId="0" xfId="0" applyNumberFormat="1" applyFont="1" applyFill="1" applyAlignment="1">
      <alignment horizontal="right" vertical="center" indent="1"/>
    </xf>
    <xf numFmtId="172" fontId="11" fillId="10" borderId="0" xfId="0" applyNumberFormat="1" applyFont="1" applyFill="1" applyAlignment="1">
      <alignment horizontal="right" vertical="center" indent="1"/>
    </xf>
    <xf numFmtId="173" fontId="11" fillId="10" borderId="0" xfId="0" applyNumberFormat="1" applyFont="1" applyFill="1" applyAlignment="1">
      <alignment horizontal="right" vertical="center" indent="1"/>
    </xf>
    <xf numFmtId="0" fontId="12" fillId="11" borderId="0" xfId="0" applyFont="1" applyFill="1" applyAlignment="1">
      <alignment horizontal="left" vertical="center" indent="1"/>
    </xf>
    <xf numFmtId="171" fontId="12" fillId="11" borderId="0" xfId="0" applyNumberFormat="1" applyFont="1" applyFill="1" applyAlignment="1">
      <alignment horizontal="right" vertical="center" indent="1"/>
    </xf>
    <xf numFmtId="3" fontId="12" fillId="11" borderId="0" xfId="0" applyNumberFormat="1" applyFont="1" applyFill="1" applyAlignment="1">
      <alignment horizontal="right" vertical="center" indent="1"/>
    </xf>
    <xf numFmtId="172" fontId="12" fillId="11" borderId="0" xfId="0" applyNumberFormat="1" applyFont="1" applyFill="1" applyAlignment="1">
      <alignment horizontal="right" vertical="center" indent="1"/>
    </xf>
    <xf numFmtId="173" fontId="12" fillId="11" borderId="0" xfId="0" applyNumberFormat="1" applyFont="1" applyFill="1" applyAlignment="1">
      <alignment horizontal="righ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right" indent="2"/>
    </xf>
    <xf numFmtId="0" fontId="6" fillId="8" borderId="0" xfId="0" applyFont="1" applyFill="1" applyAlignment="1">
      <alignment horizontal="left" indent="1"/>
    </xf>
    <xf numFmtId="0" fontId="7" fillId="8" borderId="0" xfId="0" applyFont="1" applyFill="1" applyAlignment="1">
      <alignment horizontal="right" vertical="center" indent="1"/>
    </xf>
    <xf numFmtId="0" fontId="7" fillId="8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indent="1"/>
    </xf>
    <xf numFmtId="171" fontId="6" fillId="9" borderId="0" xfId="0" applyNumberFormat="1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  <xf numFmtId="3" fontId="6" fillId="9" borderId="0" xfId="0" applyNumberFormat="1" applyFont="1" applyFill="1" applyAlignment="1">
      <alignment horizontal="left" vertical="center" indent="1"/>
    </xf>
    <xf numFmtId="172" fontId="6" fillId="9" borderId="0" xfId="0" applyNumberFormat="1" applyFont="1" applyFill="1" applyAlignment="1">
      <alignment horizontal="left" vertical="center" indent="1"/>
    </xf>
    <xf numFmtId="173" fontId="6" fillId="9" borderId="0" xfId="0" applyNumberFormat="1" applyFont="1" applyFill="1" applyAlignment="1">
      <alignment horizontal="left" vertical="center" indent="1"/>
    </xf>
    <xf numFmtId="0" fontId="10" fillId="8" borderId="0" xfId="0" applyFont="1" applyFill="1" applyAlignment="1">
      <alignment horizontal="left" indent="1"/>
    </xf>
  </cellXfs>
  <cellStyles count="1">
    <cellStyle name="Normal" xfId="0" builtinId="0"/>
  </cellStyles>
  <dxfs count="19">
    <dxf>
      <font>
        <b/>
        <sz val="10"/>
        <color rgb="FFF97316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0"/>
        <color rgb="FFEF4444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0"/>
        <color rgb="FFEF4444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0"/>
        <color rgb="FFEF4444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0"/>
        <color rgb="FFEF4444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0"/>
        <color rgb="FFEF4444"/>
        <name val="Segoe UI"/>
        <family val="2"/>
      </font>
    </dxf>
    <dxf>
      <font>
        <b/>
        <sz val="10"/>
        <color rgb="FF22C55E"/>
        <name val="Segoe UI"/>
        <family val="2"/>
      </font>
    </dxf>
    <dxf>
      <font>
        <b/>
        <sz val="12"/>
        <color rgb="FFFFFFFF"/>
        <name val="Calibri"/>
        <family val="2"/>
      </font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sz val="12"/>
        <color rgb="FFFFFFFF"/>
        <name val="Calibri"/>
        <family val="2"/>
      </font>
      <fill>
        <patternFill patternType="solid">
          <fgColor indexed="64"/>
          <bgColor rgb="FF00FF00"/>
        </patternFill>
      </fill>
    </dxf>
    <dxf>
      <font>
        <b/>
        <sz val="12"/>
        <color rgb="FFFFFFFF"/>
        <name val="Calibri"/>
        <family val="2"/>
      </font>
      <fill>
        <patternFill patternType="solid">
          <fgColor indexed="64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</dxf>
    <dxf>
      <font>
        <b/>
        <sz val="12"/>
        <color rgb="FFFFFFFF"/>
        <name val="Calibri"/>
        <family val="2"/>
      </font>
      <fill>
        <patternFill patternType="solid">
          <fgColor indexed="64"/>
          <bgColor rgb="FF00FF00"/>
        </patternFill>
      </fill>
    </dxf>
    <dxf>
      <font>
        <b/>
        <sz val="12"/>
        <color rgb="FFFFFFFF"/>
        <name val="Calibri"/>
        <family val="2"/>
      </font>
      <fill>
        <patternFill patternType="solid">
          <fgColor indexed="64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>
                <a:solidFill>
                  <a:srgbClr val="E2E8F0"/>
                </a:solidFill>
              </a:rPr>
              <a:t>Faturamento mensal x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Faturamento</c:v>
          </c:tx>
          <c:spPr>
            <a:solidFill>
              <a:srgbClr val="38BDF8"/>
            </a:solidFill>
          </c:spPr>
          <c:invertIfNegative val="1"/>
          <c:cat>
            <c:strRef>
              <c:f>Dashboard!$B$32:$B$43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Dashboard!$C$32:$C$43</c:f>
              <c:numCache>
                <c:formatCode>"R$ "#,##0</c:formatCode>
                <c:ptCount val="12"/>
                <c:pt idx="0">
                  <c:v>1280000</c:v>
                </c:pt>
                <c:pt idx="1">
                  <c:v>1350000</c:v>
                </c:pt>
                <c:pt idx="2">
                  <c:v>1190000</c:v>
                </c:pt>
                <c:pt idx="3">
                  <c:v>1420000</c:v>
                </c:pt>
                <c:pt idx="4">
                  <c:v>1510000</c:v>
                </c:pt>
                <c:pt idx="5">
                  <c:v>1480000</c:v>
                </c:pt>
                <c:pt idx="6">
                  <c:v>1620000</c:v>
                </c:pt>
                <c:pt idx="7">
                  <c:v>1580000</c:v>
                </c:pt>
                <c:pt idx="8">
                  <c:v>1710000</c:v>
                </c:pt>
                <c:pt idx="9">
                  <c:v>1690000</c:v>
                </c:pt>
                <c:pt idx="10">
                  <c:v>1840000</c:v>
                </c:pt>
                <c:pt idx="11">
                  <c:v>1960000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8D6-4191-9566-E47468FB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000011"/>
        <c:axId val="100000012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>
              <a:solidFill>
                <a:srgbClr val="F97316"/>
              </a:solidFill>
            </a:ln>
          </c:spPr>
          <c:marker>
            <c:symbol val="circle"/>
            <c:size val="5"/>
            <c:spPr>
              <a:solidFill>
                <a:srgbClr val="F97316"/>
              </a:solidFill>
            </c:spPr>
          </c:marker>
          <c:cat>
            <c:strRef>
              <c:f>Dashboard!$B$32:$B$43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Dashboard!$D$32:$D$43</c:f>
              <c:numCache>
                <c:formatCode>"R$ "#,##0</c:formatCode>
                <c:ptCount val="12"/>
                <c:pt idx="0">
                  <c:v>1300000</c:v>
                </c:pt>
                <c:pt idx="1">
                  <c:v>1300000</c:v>
                </c:pt>
                <c:pt idx="2">
                  <c:v>1350000</c:v>
                </c:pt>
                <c:pt idx="3">
                  <c:v>1350000</c:v>
                </c:pt>
                <c:pt idx="4">
                  <c:v>1400000</c:v>
                </c:pt>
                <c:pt idx="5">
                  <c:v>1450000</c:v>
                </c:pt>
                <c:pt idx="6">
                  <c:v>1500000</c:v>
                </c:pt>
                <c:pt idx="7">
                  <c:v>1550000</c:v>
                </c:pt>
                <c:pt idx="8">
                  <c:v>1600000</c:v>
                </c:pt>
                <c:pt idx="9">
                  <c:v>1650000</c:v>
                </c:pt>
                <c:pt idx="10">
                  <c:v>1700000</c:v>
                </c:pt>
                <c:pt idx="11">
                  <c:v>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6-4191-9566-E47468FB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0011"/>
        <c:axId val="100000012"/>
      </c:lineChart>
      <c:catAx>
        <c:axId val="10000001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0000012"/>
        <c:crosses val="autoZero"/>
        <c:auto val="1"/>
        <c:lblAlgn val="ctr"/>
        <c:lblOffset val="100"/>
        <c:noMultiLvlLbl val="0"/>
      </c:catAx>
      <c:valAx>
        <c:axId val="100000012"/>
        <c:scaling>
          <c:orientation val="minMax"/>
        </c:scaling>
        <c:delete val="0"/>
        <c:axPos val="l"/>
        <c:majorGridlines>
          <c:spPr>
            <a:ln w="9525">
              <a:solidFill>
                <a:srgbClr val="334155"/>
              </a:solidFill>
            </a:ln>
          </c:spPr>
        </c:majorGridlines>
        <c:numFmt formatCode="&quot;R$ &quot;#,##0" sourceLinked="1"/>
        <c:majorTickMark val="cross"/>
        <c:minorTickMark val="cross"/>
        <c:tickLblPos val="nextTo"/>
        <c:crossAx val="1000000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1E293B"/>
    </a:solidFill>
    <a:ln>
      <a:noFill/>
    </a:ln>
  </c:spPr>
  <c:txPr>
    <a:bodyPr/>
    <a:lstStyle/>
    <a:p>
      <a:pPr>
        <a:defRPr>
          <a:solidFill>
            <a:srgbClr val="E2E8F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>
                <a:solidFill>
                  <a:srgbClr val="E2E8F0"/>
                </a:solidFill>
              </a:rPr>
              <a:t>Faturamento por região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Faturamento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Dashboard!$J$32:$J$36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Dashboard!$K$32:$K$36</c:f>
              <c:numCache>
                <c:formatCode>"R$ "#,##0</c:formatCode>
                <c:ptCount val="5"/>
                <c:pt idx="0">
                  <c:v>7824600</c:v>
                </c:pt>
                <c:pt idx="1">
                  <c:v>3912300</c:v>
                </c:pt>
                <c:pt idx="2">
                  <c:v>3167100</c:v>
                </c:pt>
                <c:pt idx="3">
                  <c:v>2049300</c:v>
                </c:pt>
                <c:pt idx="4">
                  <c:v>1676700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7B4-9712-530DB151C3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1E293B"/>
    </a:solidFill>
    <a:ln>
      <a:noFill/>
    </a:ln>
  </c:spPr>
  <c:txPr>
    <a:bodyPr/>
    <a:lstStyle/>
    <a:p>
      <a:pPr>
        <a:defRPr>
          <a:solidFill>
            <a:srgbClr val="E2E8F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por Região - Colunas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Sudeste</c:v>
          </c:tx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2-4CE9-A125-71FF6076B668}"/>
            </c:ext>
          </c:extLst>
        </c:ser>
        <c:ser>
          <c:idx val="1"/>
          <c:order val="1"/>
          <c:tx>
            <c:v>Sul</c:v>
          </c:tx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2-4CE9-A125-71FF6076B668}"/>
            </c:ext>
          </c:extLst>
        </c:ser>
        <c:ser>
          <c:idx val="2"/>
          <c:order val="2"/>
          <c:tx>
            <c:v>Nordeste</c:v>
          </c:tx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2-4CE9-A125-71FF6076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31"/>
        <c:axId val="100000032"/>
      </c:barChart>
      <c:catAx>
        <c:axId val="10000003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0000032"/>
        <c:crosses val="autoZero"/>
        <c:auto val="1"/>
        <c:lblAlgn val="ctr"/>
        <c:lblOffset val="100"/>
        <c:noMultiLvlLbl val="0"/>
      </c:catAx>
      <c:valAx>
        <c:axId val="10000003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0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por Região - Empilhado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Sudeste</c:v>
          </c:tx>
          <c:spPr>
            <a:solidFill>
              <a:srgbClr val="4F81BD"/>
            </a:solidFill>
          </c:spPr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E9E-480C-8AF4-6939B74339AD}"/>
            </c:ext>
          </c:extLst>
        </c:ser>
        <c:ser>
          <c:idx val="1"/>
          <c:order val="1"/>
          <c:tx>
            <c:v>Sul</c:v>
          </c:tx>
          <c:spPr>
            <a:solidFill>
              <a:srgbClr val="C0504D"/>
            </a:solidFill>
          </c:spPr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E9E-480C-8AF4-6939B74339AD}"/>
            </c:ext>
          </c:extLst>
        </c:ser>
        <c:ser>
          <c:idx val="2"/>
          <c:order val="2"/>
          <c:tx>
            <c:v>Nordeste</c:v>
          </c:tx>
          <c:spPr>
            <a:solidFill>
              <a:srgbClr val="9BBB59"/>
            </a:solidFill>
          </c:spPr>
          <c:invertIfNegative val="1"/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6E9E-480C-8AF4-6939B7433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00041"/>
        <c:axId val="100000042"/>
      </c:barChart>
      <c:catAx>
        <c:axId val="10000004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100000042"/>
        <c:crosses val="autoZero"/>
        <c:auto val="1"/>
        <c:lblAlgn val="ctr"/>
        <c:lblOffset val="100"/>
        <c:noMultiLvlLbl val="0"/>
      </c:catAx>
      <c:valAx>
        <c:axId val="100000042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crossAx val="10000004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Evolução Mensal - Linhas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Sudeste</c:v>
          </c:tx>
          <c:marker>
            <c:symbol val="circle"/>
            <c:size val="5"/>
          </c:marker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8-4756-927E-3BA893F98362}"/>
            </c:ext>
          </c:extLst>
        </c:ser>
        <c:ser>
          <c:idx val="1"/>
          <c:order val="1"/>
          <c:tx>
            <c:v>Sul</c:v>
          </c:tx>
          <c:marker>
            <c:symbol val="circle"/>
            <c:size val="5"/>
          </c:marker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8-4756-927E-3BA893F98362}"/>
            </c:ext>
          </c:extLst>
        </c:ser>
        <c:ser>
          <c:idx val="2"/>
          <c:order val="2"/>
          <c:tx>
            <c:v>Nordeste</c:v>
          </c:tx>
          <c:marker>
            <c:symbol val="circle"/>
            <c:size val="5"/>
          </c:marker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408-4756-927E-3BA893F9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0051"/>
        <c:axId val="100000052"/>
      </c:lineChart>
      <c:catAx>
        <c:axId val="10000005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052"/>
        <c:crosses val="autoZero"/>
        <c:auto val="1"/>
        <c:lblAlgn val="ctr"/>
        <c:lblOffset val="100"/>
        <c:noMultiLvlLbl val="0"/>
      </c:catAx>
      <c:valAx>
        <c:axId val="10000005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0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Participação Mensal - Sudeste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Sudeste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GraficosBasicos!$A$2:$A$7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GraficosBasicos!$B$2:$B$7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4-439A-92B1-195727866F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Temperatura x Venda de Sorvetes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Sorvetes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GraficosBasicos!$F$2:$F$11</c:f>
              <c:numCache>
                <c:formatCode>General</c:formatCode>
                <c:ptCount val="10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</c:numCache>
            </c:numRef>
          </c:xVal>
          <c:yVal>
            <c:numRef>
              <c:f>GraficosBasicos!$G$2:$G$11</c:f>
              <c:numCache>
                <c:formatCode>General</c:formatCode>
                <c:ptCount val="10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26</c:v>
                </c:pt>
                <c:pt idx="4">
                  <c:v>30</c:v>
                </c:pt>
                <c:pt idx="5">
                  <c:v>38</c:v>
                </c:pt>
                <c:pt idx="6">
                  <c:v>45</c:v>
                </c:pt>
                <c:pt idx="7">
                  <c:v>50</c:v>
                </c:pt>
                <c:pt idx="8">
                  <c:v>58</c:v>
                </c:pt>
                <c:pt idx="9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2-4E18-89F9-E9E70287D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0071"/>
        <c:axId val="100000072"/>
      </c:scatterChart>
      <c:valAx>
        <c:axId val="10000007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072"/>
        <c:crosses val="autoZero"/>
        <c:crossBetween val="midCat"/>
      </c:valAx>
      <c:valAx>
        <c:axId val="10000007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071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por Região - Área Empilhada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Sudeste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4-4C2B-BBAA-18DBB8F85F0C}"/>
            </c:ext>
          </c:extLst>
        </c:ser>
        <c:ser>
          <c:idx val="1"/>
          <c:order val="1"/>
          <c:tx>
            <c:v>Sul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4-4C2B-BBAA-18DBB8F85F0C}"/>
            </c:ext>
          </c:extLst>
        </c:ser>
        <c:ser>
          <c:idx val="2"/>
          <c:order val="2"/>
          <c:tx>
            <c:v>Nordeste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4-4C2B-BBAA-18DBB8F8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0081"/>
        <c:axId val="100000082"/>
      </c:areaChart>
      <c:catAx>
        <c:axId val="10000008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0000082"/>
        <c:crosses val="autoZero"/>
        <c:auto val="1"/>
        <c:lblAlgn val="ctr"/>
        <c:lblOffset val="100"/>
        <c:noMultiLvlLbl val="0"/>
      </c:catAx>
      <c:valAx>
        <c:axId val="10000008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08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por Região - Colunas 3D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Sudeste</c:v>
          </c:tx>
          <c:invertIfNegative val="1"/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2-4C0D-8FD5-CEC227B5FDE7}"/>
            </c:ext>
          </c:extLst>
        </c:ser>
        <c:ser>
          <c:idx val="1"/>
          <c:order val="1"/>
          <c:tx>
            <c:v>Sul</c:v>
          </c:tx>
          <c:invertIfNegative val="1"/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2-4C0D-8FD5-CEC227B5FDE7}"/>
            </c:ext>
          </c:extLst>
        </c:ser>
        <c:ser>
          <c:idx val="2"/>
          <c:order val="2"/>
          <c:tx>
            <c:v>Nordeste</c:v>
          </c:tx>
          <c:invertIfNegative val="1"/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2-4C0D-8FD5-CEC227B5F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000091"/>
        <c:axId val="100000092"/>
        <c:axId val="100000093"/>
      </c:bar3DChart>
      <c:catAx>
        <c:axId val="10000009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092"/>
        <c:crosses val="autoZero"/>
        <c:auto val="1"/>
        <c:lblAlgn val="ctr"/>
        <c:lblOffset val="100"/>
        <c:noMultiLvlLbl val="0"/>
      </c:catAx>
      <c:valAx>
        <c:axId val="10000009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091"/>
        <c:crosses val="autoZero"/>
        <c:crossBetween val="between"/>
      </c:valAx>
      <c:serAx>
        <c:axId val="100000093"/>
        <c:scaling>
          <c:orientation val="minMax"/>
        </c:scaling>
        <c:delete val="0"/>
        <c:axPos val="b"/>
        <c:majorTickMark val="cross"/>
        <c:minorTickMark val="cross"/>
        <c:tickLblPos val="nextTo"/>
        <c:crossAx val="100000092"/>
        <c:crosses val="autoZero"/>
      </c:ser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Participação Mensal - Pizza 3D</a:t>
            </a:r>
          </a:p>
        </c:rich>
      </c:tx>
      <c:overlay val="0"/>
    </c:title>
    <c:autoTitleDeleted val="0"/>
    <c:view3D>
      <c:rotX val="30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Sudeste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1-4575-9F2E-F765D56F98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Cotações - Ações</a:t>
            </a:r>
          </a:p>
        </c:rich>
      </c:tx>
      <c:overlay val="0"/>
    </c:title>
    <c:autoTitleDeleted val="0"/>
    <c:plotArea>
      <c:layout/>
      <c:stockChart>
        <c:ser>
          <c:idx val="0"/>
          <c:order val="0"/>
          <c:tx>
            <c:v>Abertura</c:v>
          </c:tx>
          <c:spPr>
            <a:ln>
              <a:noFill/>
            </a:ln>
          </c:spPr>
          <c:marker>
            <c:symbol val="none"/>
          </c:marker>
          <c:cat>
            <c:numRef>
              <c:f>GraficosAvancados!$F$2:$F$7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GraficosAvancados!$G$2:$G$7</c:f>
              <c:numCache>
                <c:formatCode>General</c:formatCode>
                <c:ptCount val="6"/>
                <c:pt idx="0">
                  <c:v>50</c:v>
                </c:pt>
                <c:pt idx="1">
                  <c:v>53</c:v>
                </c:pt>
                <c:pt idx="2">
                  <c:v>51</c:v>
                </c:pt>
                <c:pt idx="3">
                  <c:v>55</c:v>
                </c:pt>
                <c:pt idx="4">
                  <c:v>58</c:v>
                </c:pt>
                <c:pt idx="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5-40E6-8394-A4926EA51F5E}"/>
            </c:ext>
          </c:extLst>
        </c:ser>
        <c:ser>
          <c:idx val="1"/>
          <c:order val="1"/>
          <c:tx>
            <c:v>Máxima</c:v>
          </c:tx>
          <c:spPr>
            <a:ln>
              <a:noFill/>
            </a:ln>
          </c:spPr>
          <c:marker>
            <c:symbol val="none"/>
          </c:marker>
          <c:cat>
            <c:numRef>
              <c:f>GraficosAvancados!$F$2:$F$7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GraficosAvancados!$H$2:$H$7</c:f>
              <c:numCache>
                <c:formatCode>General</c:formatCode>
                <c:ptCount val="6"/>
                <c:pt idx="0">
                  <c:v>55</c:v>
                </c:pt>
                <c:pt idx="1">
                  <c:v>56</c:v>
                </c:pt>
                <c:pt idx="2">
                  <c:v>56</c:v>
                </c:pt>
                <c:pt idx="3">
                  <c:v>60</c:v>
                </c:pt>
                <c:pt idx="4">
                  <c:v>61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5-40E6-8394-A4926EA51F5E}"/>
            </c:ext>
          </c:extLst>
        </c:ser>
        <c:ser>
          <c:idx val="2"/>
          <c:order val="2"/>
          <c:tx>
            <c:v>Mínima</c:v>
          </c:tx>
          <c:spPr>
            <a:ln>
              <a:noFill/>
            </a:ln>
          </c:spPr>
          <c:marker>
            <c:symbol val="none"/>
          </c:marker>
          <c:cat>
            <c:numRef>
              <c:f>GraficosAvancados!$F$2:$F$7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GraficosAvancados!$I$2:$I$7</c:f>
              <c:numCache>
                <c:formatCode>General</c:formatCode>
                <c:ptCount val="6"/>
                <c:pt idx="0">
                  <c:v>48</c:v>
                </c:pt>
                <c:pt idx="1">
                  <c:v>50</c:v>
                </c:pt>
                <c:pt idx="2">
                  <c:v>49</c:v>
                </c:pt>
                <c:pt idx="3">
                  <c:v>53</c:v>
                </c:pt>
                <c:pt idx="4">
                  <c:v>55</c:v>
                </c:pt>
                <c:pt idx="5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5-40E6-8394-A4926EA51F5E}"/>
            </c:ext>
          </c:extLst>
        </c:ser>
        <c:ser>
          <c:idx val="3"/>
          <c:order val="3"/>
          <c:tx>
            <c:v>Fechamento</c:v>
          </c:tx>
          <c:spPr>
            <a:ln>
              <a:noFill/>
            </a:ln>
          </c:spPr>
          <c:marker>
            <c:symbol val="none"/>
          </c:marker>
          <c:cat>
            <c:numRef>
              <c:f>GraficosAvancados!$F$2:$F$7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GraficosAvancados!$J$2:$J$7</c:f>
              <c:numCache>
                <c:formatCode>General</c:formatCode>
                <c:ptCount val="6"/>
                <c:pt idx="0">
                  <c:v>53</c:v>
                </c:pt>
                <c:pt idx="1">
                  <c:v>51</c:v>
                </c:pt>
                <c:pt idx="2">
                  <c:v>55</c:v>
                </c:pt>
                <c:pt idx="3">
                  <c:v>58</c:v>
                </c:pt>
                <c:pt idx="4">
                  <c:v>57</c:v>
                </c:pt>
                <c:pt idx="5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85-40E6-8394-A4926EA51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/>
          <c:downBars/>
        </c:upDownBars>
        <c:axId val="100000111"/>
        <c:axId val="100000112"/>
      </c:stockChart>
      <c:catAx>
        <c:axId val="10000011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112"/>
        <c:crosses val="autoZero"/>
        <c:auto val="1"/>
        <c:lblAlgn val="ctr"/>
        <c:lblOffset val="100"/>
        <c:noMultiLvlLbl val="0"/>
      </c:catAx>
      <c:valAx>
        <c:axId val="10000011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Comparativo Regional - Radar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Sudeste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D-41DF-9B41-64DBBBDBF28B}"/>
            </c:ext>
          </c:extLst>
        </c:ser>
        <c:ser>
          <c:idx val="1"/>
          <c:order val="1"/>
          <c:tx>
            <c:v>Sul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D-41DF-9B41-64DBBBDBF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0121"/>
        <c:axId val="100000122"/>
      </c:radarChart>
      <c:catAx>
        <c:axId val="10000012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122"/>
        <c:crosses val="autoZero"/>
        <c:auto val="1"/>
        <c:lblAlgn val="ctr"/>
        <c:lblOffset val="100"/>
        <c:noMultiLvlLbl val="0"/>
      </c:catAx>
      <c:valAx>
        <c:axId val="10000012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12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Participação Mensal - Rosca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Sudeste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B-4DA2-9E88-610AAEE7293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Análise - Bolhas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v>Indicador</c:v>
          </c:tx>
          <c:invertIfNegative val="1"/>
          <c:xVal>
            <c:numRef>
              <c:f>GraficosAvancados!$L$2:$L$7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GraficosAvancados!$M$2:$M$7</c:f>
              <c:numCache>
                <c:formatCode>General</c:formatCode>
                <c:ptCount val="6"/>
                <c:pt idx="0">
                  <c:v>30</c:v>
                </c:pt>
                <c:pt idx="1">
                  <c:v>45</c:v>
                </c:pt>
                <c:pt idx="2">
                  <c:v>25</c:v>
                </c:pt>
                <c:pt idx="3">
                  <c:v>60</c:v>
                </c:pt>
                <c:pt idx="4">
                  <c:v>40</c:v>
                </c:pt>
                <c:pt idx="5">
                  <c:v>70</c:v>
                </c:pt>
              </c:numCache>
            </c:numRef>
          </c:yVal>
          <c:bubbleSize>
            <c:numRef>
              <c:f>GraficosAvancados!$N$2:$N$7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15</c:v>
                </c:pt>
                <c:pt idx="4">
                  <c:v>9</c:v>
                </c:pt>
                <c:pt idx="5">
                  <c:v>12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ABA-4BAF-9F9C-66E177365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0000141"/>
        <c:axId val="100000142"/>
      </c:bubbleChart>
      <c:valAx>
        <c:axId val="10000014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142"/>
        <c:crosses val="autoZero"/>
        <c:crossBetween val="midCat"/>
      </c:valAx>
      <c:valAx>
        <c:axId val="10000014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141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Participação Mensal - Pizza de Pizza</a:t>
            </a:r>
          </a:p>
        </c:rich>
      </c:tx>
      <c:overlay val="0"/>
    </c:title>
    <c:autoTitleDeleted val="0"/>
    <c:plotArea>
      <c:layout/>
      <c:ofPieChart>
        <c:ofPieType val="pie"/>
        <c:varyColors val="1"/>
        <c:ser>
          <c:idx val="0"/>
          <c:order val="0"/>
          <c:tx>
            <c:v>Sudeste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3-4093-86C0-C3F120C57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2"/>
        <c:secondPieSize val="75"/>
        <c:serLines/>
      </c:of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por Região - Superfície 3D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tx>
            <c:v>Sudeste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1D1-B72C-B18A003A873C}"/>
            </c:ext>
          </c:extLst>
        </c:ser>
        <c:ser>
          <c:idx val="1"/>
          <c:order val="1"/>
          <c:tx>
            <c:v>Sul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GraficosAvancados!$C$2:$C$7</c:f>
              <c:numCache>
                <c:formatCode>General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95</c:v>
                </c:pt>
                <c:pt idx="3">
                  <c:v>85</c:v>
                </c:pt>
                <c:pt idx="4">
                  <c:v>110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1-41D1-B72C-B18A003A873C}"/>
            </c:ext>
          </c:extLst>
        </c:ser>
        <c:ser>
          <c:idx val="2"/>
          <c:order val="2"/>
          <c:tx>
            <c:v>Nordeste</c:v>
          </c:tx>
          <c:cat>
            <c:strRef>
              <c:f>GraficosAvancados!$A$2:$A$7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GraficosAvancados!$D$2:$D$7</c:f>
              <c:numCache>
                <c:formatCode>General</c:formatCode>
                <c:ptCount val="6"/>
                <c:pt idx="0">
                  <c:v>60</c:v>
                </c:pt>
                <c:pt idx="1">
                  <c:v>75</c:v>
                </c:pt>
                <c:pt idx="2">
                  <c:v>70</c:v>
                </c:pt>
                <c:pt idx="3">
                  <c:v>90</c:v>
                </c:pt>
                <c:pt idx="4">
                  <c:v>95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1-41D1-B72C-B18A003A873C}"/>
            </c:ext>
          </c:extLst>
        </c:ser>
        <c:bandFmts/>
        <c:axId val="100000161"/>
        <c:axId val="100000162"/>
        <c:axId val="100000163"/>
      </c:surface3DChart>
      <c:catAx>
        <c:axId val="10000016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100000162"/>
        <c:crosses val="autoZero"/>
        <c:auto val="1"/>
        <c:lblAlgn val="ctr"/>
        <c:lblOffset val="100"/>
        <c:noMultiLvlLbl val="0"/>
      </c:catAx>
      <c:valAx>
        <c:axId val="10000016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161"/>
        <c:crosses val="autoZero"/>
        <c:crossBetween val="between"/>
      </c:valAx>
      <c:serAx>
        <c:axId val="100000163"/>
        <c:scaling>
          <c:orientation val="minMax"/>
        </c:scaling>
        <c:delete val="0"/>
        <c:axPos val="b"/>
        <c:majorTickMark val="cross"/>
        <c:minorTickMark val="cross"/>
        <c:tickLblPos val="nextTo"/>
        <c:crossAx val="100000162"/>
        <c:crosses val="autoZero"/>
      </c:ser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Vendas x Margem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rgbClr val="4F81BD"/>
            </a:solidFill>
          </c:spPr>
          <c:invertIfNegative val="1"/>
          <c:cat>
            <c:strRef>
              <c:f>GraficoCombinado!$A$2:$A$7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GraficoCombinado!$B$2:$B$7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140</c:v>
                </c:pt>
                <c:pt idx="4">
                  <c:v>160</c:v>
                </c:pt>
                <c:pt idx="5">
                  <c:v>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1D5-4CC9-B61A-4F6FB04F8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171"/>
        <c:axId val="100000172"/>
      </c:barChart>
      <c:lineChart>
        <c:grouping val="standard"/>
        <c:varyColors val="0"/>
        <c:ser>
          <c:idx val="1"/>
          <c:order val="1"/>
          <c:tx>
            <c:v>Margem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cat>
            <c:strRef>
              <c:f>GraficoCombinado!$A$2:$A$7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GraficoCombinado!$C$2:$C$7</c:f>
              <c:numCache>
                <c:formatCode>General</c:formatCode>
                <c:ptCount val="6"/>
                <c:pt idx="0">
                  <c:v>0.15</c:v>
                </c:pt>
                <c:pt idx="1">
                  <c:v>0.18</c:v>
                </c:pt>
                <c:pt idx="2">
                  <c:v>0.12</c:v>
                </c:pt>
                <c:pt idx="3">
                  <c:v>0.2</c:v>
                </c:pt>
                <c:pt idx="4">
                  <c:v>0.22</c:v>
                </c:pt>
                <c:pt idx="5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5-4CC9-B61A-4F6FB04F8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0174"/>
        <c:axId val="100000175"/>
      </c:lineChart>
      <c:catAx>
        <c:axId val="10000017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0000172"/>
        <c:crosses val="autoZero"/>
        <c:auto val="1"/>
        <c:lblAlgn val="ctr"/>
        <c:lblOffset val="100"/>
        <c:noMultiLvlLbl val="0"/>
      </c:catAx>
      <c:valAx>
        <c:axId val="10000017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00000171"/>
        <c:crosses val="autoZero"/>
        <c:crossBetween val="between"/>
      </c:valAx>
      <c:valAx>
        <c:axId val="100000175"/>
        <c:scaling>
          <c:orientation val="minMax"/>
        </c:scaling>
        <c:delete val="0"/>
        <c:axPos val="r"/>
        <c:numFmt formatCode="General" sourceLinked="1"/>
        <c:majorTickMark val="cross"/>
        <c:minorTickMark val="cross"/>
        <c:tickLblPos val="nextTo"/>
        <c:crossAx val="100000174"/>
        <c:crosses val="max"/>
        <c:crossBetween val="between"/>
      </c:valAx>
      <c:catAx>
        <c:axId val="100000174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000175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905000" cy="115252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152525" cy="19050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27</xdr:col>
      <xdr:colOff>0</xdr:colOff>
      <xdr:row>16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27</xdr:col>
      <xdr:colOff>0</xdr:colOff>
      <xdr:row>33</xdr:row>
      <xdr:rowOff>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19</xdr:col>
      <xdr:colOff>0</xdr:colOff>
      <xdr:row>41</xdr:row>
      <xdr:rowOff>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19</xdr:col>
      <xdr:colOff>0</xdr:colOff>
      <xdr:row>58</xdr:row>
      <xdr:rowOff>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9</xdr:col>
      <xdr:colOff>0</xdr:colOff>
      <xdr:row>75</xdr:row>
      <xdr:rowOff>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59</xdr:row>
      <xdr:rowOff>0</xdr:rowOff>
    </xdr:from>
    <xdr:to>
      <xdr:col>19</xdr:col>
      <xdr:colOff>0</xdr:colOff>
      <xdr:row>75</xdr:row>
      <xdr:rowOff>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9</xdr:col>
      <xdr:colOff>0</xdr:colOff>
      <xdr:row>92</xdr:row>
      <xdr:rowOff>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1" displayName="Tabela1" ref="A1:D101" totalsRowCount="1">
  <autoFilter ref="A1:D100" xr:uid="{00000000-0009-0000-0100-000003000000}"/>
  <tableColumns count="4">
    <tableColumn id="1" xr3:uid="{00000000-0010-0000-0000-000001000000}" name="Linha" totalsRowLabel="TOTAL"/>
    <tableColumn id="2" xr3:uid="{00000000-0010-0000-0000-000002000000}" name="Filial" totalsRowFunction="custom">
      <totalsRowFormula>SUBTOTAL(103,Tabela1[Filial])</totalsRowFormula>
    </tableColumn>
    <tableColumn id="3" xr3:uid="{00000000-0010-0000-0000-000003000000}" name="Venda" totalsRowFunction="sum"/>
    <tableColumn id="4" xr3:uid="{00000000-0010-0000-0000-000004000000}" name="Data Vend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2" displayName="Tabela2" ref="A1:K3" totalsRowCount="1">
  <tableColumns count="11">
    <tableColumn id="1" xr3:uid="{00000000-0010-0000-0100-000001000000}" name="CNPJ/CPF" totalsRowFunction="count"/>
    <tableColumn id="2" xr3:uid="{00000000-0010-0000-0100-000002000000}" name="Código do Cliente"/>
    <tableColumn id="3" xr3:uid="{00000000-0010-0000-0100-000003000000}" name="Loja"/>
    <tableColumn id="4" xr3:uid="{00000000-0010-0000-0100-000004000000}" name="Fisica/Jurid"/>
    <tableColumn id="5" xr3:uid="{00000000-0010-0000-0100-000005000000}" name="Nome"/>
    <tableColumn id="6" xr3:uid="{00000000-0010-0000-0100-000006000000}" name="Desconto"/>
    <tableColumn id="7" xr3:uid="{00000000-0010-0000-0100-000007000000}" name="Lim. Credito"/>
    <tableColumn id="8" xr3:uid="{00000000-0010-0000-0100-000008000000}" name="Maior Saldo"/>
    <tableColumn id="9" xr3:uid="{00000000-0010-0000-0100-000009000000}" name="Maior Compra"/>
    <tableColumn id="10" xr3:uid="{00000000-0010-0000-0100-00000A000000}" name="Ult. Compra"/>
    <tableColumn id="11" xr3:uid="{00000000-0010-0000-0100-00000B000000}" name="Rec.COFI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G25"/>
  <sheetViews>
    <sheetView tabSelected="1" workbookViewId="0">
      <selection sqref="A1:F2"/>
    </sheetView>
  </sheetViews>
  <sheetFormatPr defaultRowHeight="12.75" customHeight="1" x14ac:dyDescent="0.25"/>
  <cols>
    <col min="1" max="1" width="15.7109375" bestFit="1" customWidth="1"/>
    <col min="2" max="2" width="20.7109375" bestFit="1" customWidth="1"/>
    <col min="3" max="4" width="15.7109375" bestFit="1" customWidth="1"/>
    <col min="5" max="5" width="20.7109375" bestFit="1" customWidth="1"/>
    <col min="6" max="6" width="20.7109375" hidden="1" bestFit="1" customWidth="1"/>
  </cols>
  <sheetData>
    <row r="1" spans="1:7" ht="15" x14ac:dyDescent="0.25">
      <c r="A1" s="54" t="s">
        <v>0</v>
      </c>
      <c r="B1" s="55"/>
      <c r="C1" s="55"/>
      <c r="D1" s="55"/>
      <c r="E1" s="55"/>
      <c r="F1" s="55"/>
    </row>
    <row r="2" spans="1:7" ht="12.75" customHeight="1" x14ac:dyDescent="0.25">
      <c r="A2" s="55"/>
      <c r="B2" s="55"/>
      <c r="C2" s="55"/>
      <c r="D2" s="55"/>
      <c r="E2" s="55"/>
      <c r="F2" s="55"/>
    </row>
    <row r="3" spans="1:7" ht="30.75" customHeight="1" x14ac:dyDescent="0.4">
      <c r="A3" s="3" t="s">
        <v>1</v>
      </c>
      <c r="B3" s="4" t="s">
        <v>2</v>
      </c>
      <c r="C3" s="5" t="s">
        <v>3</v>
      </c>
      <c r="G3" s="6" t="s">
        <v>4</v>
      </c>
    </row>
    <row r="5" spans="1:7" ht="15" x14ac:dyDescent="0.25">
      <c r="A5" s="7">
        <v>100</v>
      </c>
      <c r="B5" s="7">
        <v>-100.2</v>
      </c>
      <c r="C5" s="8">
        <v>1000</v>
      </c>
    </row>
    <row r="6" spans="1:7" ht="15" x14ac:dyDescent="0.25">
      <c r="A6">
        <f>1+1</f>
        <v>2</v>
      </c>
      <c r="B6">
        <f>VALOR1+A6</f>
        <v>102</v>
      </c>
      <c r="C6">
        <f>SUM(VALORES)</f>
        <v>999.8</v>
      </c>
      <c r="D6">
        <f>A5+C6</f>
        <v>1099.8</v>
      </c>
    </row>
    <row r="8" spans="1:7" ht="15" x14ac:dyDescent="0.25">
      <c r="A8" s="1">
        <v>46321</v>
      </c>
      <c r="B8" s="2">
        <v>46321.672743050003</v>
      </c>
      <c r="C8" s="9">
        <v>46321</v>
      </c>
      <c r="D8" s="10">
        <v>1.1569999999999999E-5</v>
      </c>
      <c r="E8" s="2">
        <v>46331.672743050003</v>
      </c>
    </row>
    <row r="10" spans="1:7" ht="15" x14ac:dyDescent="0.25">
      <c r="A10" s="11" t="b">
        <v>1</v>
      </c>
      <c r="B10" s="12" t="b">
        <v>0</v>
      </c>
    </row>
    <row r="12" spans="1:7" ht="15" x14ac:dyDescent="0.25">
      <c r="A12" s="55" t="s">
        <v>5</v>
      </c>
      <c r="B12" s="55"/>
      <c r="C12" s="55"/>
    </row>
    <row r="13" spans="1:7" ht="20.100000000000001" customHeight="1" x14ac:dyDescent="0.25">
      <c r="A13">
        <v>-10</v>
      </c>
    </row>
    <row r="14" spans="1:7" ht="20.100000000000001" customHeight="1" x14ac:dyDescent="0.25">
      <c r="A14">
        <v>0</v>
      </c>
    </row>
    <row r="15" spans="1:7" ht="20.100000000000001" customHeight="1" x14ac:dyDescent="0.25">
      <c r="A15">
        <v>5</v>
      </c>
    </row>
    <row r="16" spans="1:7" ht="20.100000000000001" customHeight="1" x14ac:dyDescent="0.25">
      <c r="A16">
        <v>10</v>
      </c>
    </row>
    <row r="17" spans="1:6" ht="20.100000000000001" customHeight="1" x14ac:dyDescent="0.25">
      <c r="A17">
        <v>20</v>
      </c>
    </row>
    <row r="18" spans="1:6" ht="20.100000000000001" customHeight="1" x14ac:dyDescent="0.25">
      <c r="A18">
        <v>25</v>
      </c>
    </row>
    <row r="20" spans="1:6" ht="15" x14ac:dyDescent="0.25">
      <c r="A20" s="13" t="s">
        <v>6</v>
      </c>
    </row>
    <row r="21" spans="1:6" ht="15" x14ac:dyDescent="0.25"/>
    <row r="22" spans="1:6" ht="15" x14ac:dyDescent="0.25"/>
    <row r="24" spans="1:6" ht="15" x14ac:dyDescent="0.25">
      <c r="A24" s="14" t="s">
        <v>7</v>
      </c>
      <c r="E24" s="56" t="s">
        <v>8</v>
      </c>
      <c r="F24" s="55"/>
    </row>
    <row r="25" spans="1:6" ht="15" x14ac:dyDescent="0.25">
      <c r="A25" s="15" t="s">
        <v>9</v>
      </c>
      <c r="B25" s="16">
        <f>15+15</f>
        <v>30</v>
      </c>
    </row>
  </sheetData>
  <sheetProtection algorithmName="SHA-512" hashValue="zYwpuN7tMj/hU4z720b8Ki6mHP1ngH8GKXCOoqbhOikZ3vPIN8Tn8sjgBnVo4yNoJ977Bck0bkdrbpVEQKkIpw==" saltValue="" spinCount="0" sheet="1" objects="1" scenarios="1"/>
  <mergeCells count="3">
    <mergeCell ref="A1:F2"/>
    <mergeCell ref="A12:C12"/>
    <mergeCell ref="E24:F24"/>
  </mergeCells>
  <conditionalFormatting sqref="A13:A18">
    <cfRule type="cellIs" dxfId="18" priority="1" operator="lessThan">
      <formula>0</formula>
    </cfRule>
    <cfRule type="cellIs" dxfId="17" priority="2" operator="between">
      <formula>10</formula>
      <formula>20</formula>
    </cfRule>
    <cfRule type="cellIs" dxfId="16" priority="3" operator="equal">
      <formula>0</formula>
    </cfRule>
  </conditionalFormatting>
  <hyperlinks>
    <hyperlink ref="A20" location="Teste!A1" tooltip="Ir para teste" display="Link Planilha Teste" xr:uid="{00000000-0004-0000-0000-000000000000}"/>
  </hyperlinks>
  <pageMargins left="0.511811024" right="0.511811024" top="0.78740157499999996" bottom="0.78740157499999996" header="0.31496062000000002" footer="0.31496062000000002"/>
  <pageSetup paperSize="9" fitToHeight="0" orientation="landscape"/>
  <headerFooter>
    <oddHeader>&amp;L&amp;A&amp;CA&amp;KFF0000B&amp;K0070C0C&amp;K01+000D&amp;K07+037E&amp;R&amp;D
&amp;T</oddHeader>
    <oddFooter>&amp;L&amp;18A&amp;36B&amp;C&amp;BTeste Excel&amp;RPág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este">
    <tabColor rgb="FF00AA00"/>
    <outlinePr summaryRight="0"/>
    <pageSetUpPr fitToPage="1"/>
  </sheetPr>
  <dimension ref="A1:F1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outlineLevelRow="2" outlineLevelCol="1" x14ac:dyDescent="0.25"/>
  <cols>
    <col min="1" max="2" width="12.7109375" bestFit="1" customWidth="1"/>
    <col min="3" max="3" width="20.7109375" bestFit="1" customWidth="1" collapsed="1"/>
    <col min="4" max="4" width="12.7109375" hidden="1" bestFit="1" customWidth="1" outlineLevel="1"/>
    <col min="5" max="5" width="18.7109375" hidden="1" bestFit="1" customWidth="1" outlineLevel="1"/>
    <col min="6" max="6" width="18.7109375" bestFit="1" customWidth="1"/>
  </cols>
  <sheetData>
    <row r="1" spans="1:6" x14ac:dyDescent="0.25">
      <c r="A1" s="17" t="s">
        <v>10</v>
      </c>
      <c r="B1" s="17" t="s">
        <v>11</v>
      </c>
      <c r="C1" s="17" t="s">
        <v>12</v>
      </c>
      <c r="D1" s="17" t="s">
        <v>13</v>
      </c>
      <c r="E1" s="17" t="s">
        <v>14</v>
      </c>
      <c r="F1" s="17" t="s">
        <v>15</v>
      </c>
    </row>
    <row r="2" spans="1:6" outlineLevel="2" x14ac:dyDescent="0.25">
      <c r="A2" s="18">
        <v>2</v>
      </c>
      <c r="B2" s="18" t="s">
        <v>16</v>
      </c>
      <c r="C2" s="19">
        <v>58</v>
      </c>
      <c r="D2" s="20">
        <v>170.43</v>
      </c>
      <c r="E2" s="21">
        <v>46323</v>
      </c>
      <c r="F2" s="18">
        <f t="shared" ref="F2:F10" si="0">ROUND(C2*D2,2)</f>
        <v>9884.94</v>
      </c>
    </row>
    <row r="3" spans="1:6" outlineLevel="2" x14ac:dyDescent="0.25">
      <c r="A3" s="22">
        <v>3</v>
      </c>
      <c r="B3" s="22" t="s">
        <v>16</v>
      </c>
      <c r="C3" s="23">
        <v>74</v>
      </c>
      <c r="D3" s="24">
        <v>185.5</v>
      </c>
      <c r="E3" s="25">
        <v>46324</v>
      </c>
      <c r="F3" s="22">
        <f t="shared" si="0"/>
        <v>13727</v>
      </c>
    </row>
    <row r="4" spans="1:6" outlineLevel="2" x14ac:dyDescent="0.25">
      <c r="A4" s="18">
        <v>4</v>
      </c>
      <c r="B4" s="18" t="s">
        <v>16</v>
      </c>
      <c r="C4" s="19">
        <v>46</v>
      </c>
      <c r="D4" s="20">
        <v>101.97</v>
      </c>
      <c r="E4" s="21">
        <v>46325</v>
      </c>
      <c r="F4" s="18">
        <f t="shared" si="0"/>
        <v>4690.62</v>
      </c>
    </row>
    <row r="5" spans="1:6" outlineLevel="2" x14ac:dyDescent="0.25">
      <c r="A5" s="22">
        <v>5</v>
      </c>
      <c r="B5" s="22" t="s">
        <v>16</v>
      </c>
      <c r="C5" s="23">
        <v>89</v>
      </c>
      <c r="D5" s="24">
        <v>29.25</v>
      </c>
      <c r="E5" s="25">
        <v>46326</v>
      </c>
      <c r="F5" s="22">
        <f t="shared" si="0"/>
        <v>2603.25</v>
      </c>
    </row>
    <row r="6" spans="1:6" outlineLevel="2" x14ac:dyDescent="0.25">
      <c r="A6" s="18">
        <v>6</v>
      </c>
      <c r="B6" s="18" t="s">
        <v>16</v>
      </c>
      <c r="C6" s="19">
        <v>85</v>
      </c>
      <c r="D6" s="20">
        <v>37.409999999999997</v>
      </c>
      <c r="E6" s="21">
        <v>46327</v>
      </c>
      <c r="F6" s="18">
        <f t="shared" si="0"/>
        <v>3179.85</v>
      </c>
    </row>
    <row r="7" spans="1:6" outlineLevel="2" x14ac:dyDescent="0.25">
      <c r="A7" s="22">
        <v>7</v>
      </c>
      <c r="B7" s="22" t="s">
        <v>16</v>
      </c>
      <c r="C7" s="23">
        <v>27</v>
      </c>
      <c r="D7" s="24">
        <v>69.599999999999994</v>
      </c>
      <c r="E7" s="25">
        <v>46328</v>
      </c>
      <c r="F7" s="22">
        <f t="shared" si="0"/>
        <v>1879.2</v>
      </c>
    </row>
    <row r="8" spans="1:6" outlineLevel="2" x14ac:dyDescent="0.25">
      <c r="A8" s="18">
        <v>8</v>
      </c>
      <c r="B8" s="18" t="s">
        <v>16</v>
      </c>
      <c r="C8" s="19">
        <v>80</v>
      </c>
      <c r="D8" s="20">
        <v>24.2</v>
      </c>
      <c r="E8" s="21">
        <v>46329</v>
      </c>
      <c r="F8" s="18">
        <f t="shared" si="0"/>
        <v>1936</v>
      </c>
    </row>
    <row r="9" spans="1:6" outlineLevel="2" x14ac:dyDescent="0.25">
      <c r="A9" s="22">
        <v>9</v>
      </c>
      <c r="B9" s="22" t="s">
        <v>16</v>
      </c>
      <c r="C9" s="23">
        <v>1</v>
      </c>
      <c r="D9" s="24">
        <v>233.1</v>
      </c>
      <c r="E9" s="25">
        <v>46330</v>
      </c>
      <c r="F9" s="22">
        <f t="shared" si="0"/>
        <v>233.1</v>
      </c>
    </row>
    <row r="10" spans="1:6" outlineLevel="2" x14ac:dyDescent="0.25">
      <c r="A10" s="18">
        <v>10</v>
      </c>
      <c r="B10" s="18" t="s">
        <v>16</v>
      </c>
      <c r="C10" s="19">
        <v>76</v>
      </c>
      <c r="D10" s="20">
        <v>38.72</v>
      </c>
      <c r="E10" s="21">
        <v>46331</v>
      </c>
      <c r="F10" s="18">
        <f t="shared" si="0"/>
        <v>2942.72</v>
      </c>
    </row>
    <row r="11" spans="1:6" x14ac:dyDescent="0.25">
      <c r="A11" s="26" t="s">
        <v>17</v>
      </c>
      <c r="B11" s="26" t="s">
        <v>18</v>
      </c>
      <c r="C11" s="27">
        <f>SUBTOTAL(9,VENDA1)</f>
        <v>536</v>
      </c>
      <c r="D11" s="28" t="s">
        <v>19</v>
      </c>
      <c r="E11" s="26" t="s">
        <v>19</v>
      </c>
      <c r="F11" s="26">
        <f>SUBTOTAL(9,F2:F10)</f>
        <v>41076.68</v>
      </c>
    </row>
    <row r="12" spans="1:6" hidden="1" outlineLevel="2" x14ac:dyDescent="0.25">
      <c r="A12" s="18">
        <v>12</v>
      </c>
      <c r="B12" s="18" t="s">
        <v>20</v>
      </c>
      <c r="C12" s="19">
        <v>34</v>
      </c>
      <c r="D12" s="20">
        <v>196</v>
      </c>
      <c r="E12" s="21">
        <v>46333</v>
      </c>
      <c r="F12" s="18">
        <f t="shared" ref="F12:F20" si="1">ROUND(C12*D12,2)</f>
        <v>6664</v>
      </c>
    </row>
    <row r="13" spans="1:6" hidden="1" outlineLevel="2" x14ac:dyDescent="0.25">
      <c r="A13" s="22">
        <v>13</v>
      </c>
      <c r="B13" s="22" t="s">
        <v>20</v>
      </c>
      <c r="C13" s="23">
        <v>53</v>
      </c>
      <c r="D13" s="24">
        <v>72.08</v>
      </c>
      <c r="E13" s="25">
        <v>46334</v>
      </c>
      <c r="F13" s="22">
        <f t="shared" si="1"/>
        <v>3820.24</v>
      </c>
    </row>
    <row r="14" spans="1:6" hidden="1" outlineLevel="2" x14ac:dyDescent="0.25">
      <c r="A14" s="18">
        <v>14</v>
      </c>
      <c r="B14" s="18" t="s">
        <v>20</v>
      </c>
      <c r="C14" s="19">
        <v>76</v>
      </c>
      <c r="D14" s="20">
        <v>111.78</v>
      </c>
      <c r="E14" s="21">
        <v>46335</v>
      </c>
      <c r="F14" s="18">
        <f t="shared" si="1"/>
        <v>8495.2800000000007</v>
      </c>
    </row>
    <row r="15" spans="1:6" hidden="1" outlineLevel="2" x14ac:dyDescent="0.25">
      <c r="A15" s="22">
        <v>15</v>
      </c>
      <c r="B15" s="22" t="s">
        <v>20</v>
      </c>
      <c r="C15" s="23">
        <v>11</v>
      </c>
      <c r="D15" s="24">
        <v>48.9</v>
      </c>
      <c r="E15" s="25">
        <v>46336</v>
      </c>
      <c r="F15" s="22">
        <f t="shared" si="1"/>
        <v>537.9</v>
      </c>
    </row>
    <row r="16" spans="1:6" hidden="1" outlineLevel="2" x14ac:dyDescent="0.25">
      <c r="A16" s="18">
        <v>16</v>
      </c>
      <c r="B16" s="18" t="s">
        <v>20</v>
      </c>
      <c r="C16" s="19">
        <v>61</v>
      </c>
      <c r="D16" s="20">
        <v>17.64</v>
      </c>
      <c r="E16" s="21">
        <v>46337</v>
      </c>
      <c r="F16" s="18">
        <f t="shared" si="1"/>
        <v>1076.04</v>
      </c>
    </row>
    <row r="17" spans="1:6" hidden="1" outlineLevel="2" x14ac:dyDescent="0.25">
      <c r="A17" s="22">
        <v>17</v>
      </c>
      <c r="B17" s="22" t="s">
        <v>20</v>
      </c>
      <c r="C17" s="23">
        <v>83</v>
      </c>
      <c r="D17" s="24">
        <v>127.07</v>
      </c>
      <c r="E17" s="25">
        <v>46338</v>
      </c>
      <c r="F17" s="22">
        <f t="shared" si="1"/>
        <v>10546.81</v>
      </c>
    </row>
    <row r="18" spans="1:6" hidden="1" outlineLevel="2" x14ac:dyDescent="0.25">
      <c r="A18" s="18">
        <v>18</v>
      </c>
      <c r="B18" s="18" t="s">
        <v>20</v>
      </c>
      <c r="C18" s="19">
        <v>44</v>
      </c>
      <c r="D18" s="20">
        <v>47.15</v>
      </c>
      <c r="E18" s="21">
        <v>46339</v>
      </c>
      <c r="F18" s="18">
        <f t="shared" si="1"/>
        <v>2074.6</v>
      </c>
    </row>
    <row r="19" spans="1:6" hidden="1" outlineLevel="2" x14ac:dyDescent="0.25">
      <c r="A19" s="22">
        <v>19</v>
      </c>
      <c r="B19" s="22" t="s">
        <v>20</v>
      </c>
      <c r="C19" s="23">
        <v>45</v>
      </c>
      <c r="D19" s="24">
        <v>85.26</v>
      </c>
      <c r="E19" s="25">
        <v>46340</v>
      </c>
      <c r="F19" s="22">
        <f t="shared" si="1"/>
        <v>3836.7</v>
      </c>
    </row>
    <row r="20" spans="1:6" hidden="1" outlineLevel="2" x14ac:dyDescent="0.25">
      <c r="A20" s="18">
        <v>20</v>
      </c>
      <c r="B20" s="18" t="s">
        <v>20</v>
      </c>
      <c r="C20" s="19">
        <v>78</v>
      </c>
      <c r="D20" s="20">
        <v>15.4</v>
      </c>
      <c r="E20" s="21">
        <v>46341</v>
      </c>
      <c r="F20" s="18">
        <f t="shared" si="1"/>
        <v>1201.2</v>
      </c>
    </row>
    <row r="21" spans="1:6" collapsed="1" x14ac:dyDescent="0.25">
      <c r="A21" s="26" t="s">
        <v>17</v>
      </c>
      <c r="B21" s="26" t="s">
        <v>21</v>
      </c>
      <c r="C21" s="27">
        <f>SUBTOTAL(9,VENDA2)</f>
        <v>485</v>
      </c>
      <c r="D21" s="28" t="s">
        <v>19</v>
      </c>
      <c r="E21" s="26" t="s">
        <v>19</v>
      </c>
      <c r="F21" s="26">
        <f>SUBTOTAL(9,F12:F20)</f>
        <v>38252.769999999997</v>
      </c>
    </row>
    <row r="22" spans="1:6" hidden="1" outlineLevel="2" x14ac:dyDescent="0.25">
      <c r="A22" s="18">
        <v>22</v>
      </c>
      <c r="B22" s="18" t="s">
        <v>22</v>
      </c>
      <c r="C22" s="19">
        <v>96</v>
      </c>
      <c r="D22" s="20">
        <v>207.94</v>
      </c>
      <c r="E22" s="21">
        <v>46343</v>
      </c>
      <c r="F22" s="18">
        <f t="shared" ref="F22:F30" si="2">ROUND(C22*D22,2)</f>
        <v>19962.240000000002</v>
      </c>
    </row>
    <row r="23" spans="1:6" hidden="1" outlineLevel="2" x14ac:dyDescent="0.25">
      <c r="A23" s="22">
        <v>23</v>
      </c>
      <c r="B23" s="22" t="s">
        <v>22</v>
      </c>
      <c r="C23" s="23">
        <v>35</v>
      </c>
      <c r="D23" s="24">
        <v>87.21</v>
      </c>
      <c r="E23" s="25">
        <v>46344</v>
      </c>
      <c r="F23" s="22">
        <f t="shared" si="2"/>
        <v>3052.35</v>
      </c>
    </row>
    <row r="24" spans="1:6" hidden="1" outlineLevel="2" x14ac:dyDescent="0.25">
      <c r="A24" s="18">
        <v>24</v>
      </c>
      <c r="B24" s="18" t="s">
        <v>22</v>
      </c>
      <c r="C24" s="19">
        <v>79</v>
      </c>
      <c r="D24" s="20">
        <v>20.72</v>
      </c>
      <c r="E24" s="21">
        <v>46345</v>
      </c>
      <c r="F24" s="18">
        <f t="shared" si="2"/>
        <v>1636.88</v>
      </c>
    </row>
    <row r="25" spans="1:6" hidden="1" outlineLevel="2" x14ac:dyDescent="0.25">
      <c r="A25" s="22">
        <v>25</v>
      </c>
      <c r="B25" s="22" t="s">
        <v>22</v>
      </c>
      <c r="C25" s="23">
        <v>94</v>
      </c>
      <c r="D25" s="24">
        <v>29.87</v>
      </c>
      <c r="E25" s="25">
        <v>46346</v>
      </c>
      <c r="F25" s="22">
        <f t="shared" si="2"/>
        <v>2807.78</v>
      </c>
    </row>
    <row r="26" spans="1:6" hidden="1" outlineLevel="2" x14ac:dyDescent="0.25">
      <c r="A26" s="18">
        <v>26</v>
      </c>
      <c r="B26" s="18" t="s">
        <v>22</v>
      </c>
      <c r="C26" s="19">
        <v>39</v>
      </c>
      <c r="D26" s="20">
        <v>193.03</v>
      </c>
      <c r="E26" s="21">
        <v>46347</v>
      </c>
      <c r="F26" s="18">
        <f t="shared" si="2"/>
        <v>7528.17</v>
      </c>
    </row>
    <row r="27" spans="1:6" hidden="1" outlineLevel="2" x14ac:dyDescent="0.25">
      <c r="A27" s="22">
        <v>27</v>
      </c>
      <c r="B27" s="22" t="s">
        <v>22</v>
      </c>
      <c r="C27" s="23">
        <v>98</v>
      </c>
      <c r="D27" s="24">
        <v>140</v>
      </c>
      <c r="E27" s="25">
        <v>46348</v>
      </c>
      <c r="F27" s="22">
        <f t="shared" si="2"/>
        <v>13720</v>
      </c>
    </row>
    <row r="28" spans="1:6" hidden="1" outlineLevel="2" x14ac:dyDescent="0.25">
      <c r="A28" s="18">
        <v>28</v>
      </c>
      <c r="B28" s="18" t="s">
        <v>22</v>
      </c>
      <c r="C28" s="19">
        <v>36</v>
      </c>
      <c r="D28" s="20">
        <v>6.54</v>
      </c>
      <c r="E28" s="21">
        <v>46349</v>
      </c>
      <c r="F28" s="18">
        <f t="shared" si="2"/>
        <v>235.44</v>
      </c>
    </row>
    <row r="29" spans="1:6" hidden="1" outlineLevel="2" x14ac:dyDescent="0.25">
      <c r="A29" s="22">
        <v>29</v>
      </c>
      <c r="B29" s="22" t="s">
        <v>22</v>
      </c>
      <c r="C29" s="23">
        <v>13</v>
      </c>
      <c r="D29" s="24">
        <v>54.34</v>
      </c>
      <c r="E29" s="25">
        <v>46350</v>
      </c>
      <c r="F29" s="22">
        <f t="shared" si="2"/>
        <v>706.42</v>
      </c>
    </row>
    <row r="30" spans="1:6" hidden="1" outlineLevel="2" x14ac:dyDescent="0.25">
      <c r="A30" s="18">
        <v>30</v>
      </c>
      <c r="B30" s="18" t="s">
        <v>22</v>
      </c>
      <c r="C30" s="19">
        <v>75</v>
      </c>
      <c r="D30" s="20">
        <v>294.02999999999997</v>
      </c>
      <c r="E30" s="21">
        <v>46351</v>
      </c>
      <c r="F30" s="18">
        <f t="shared" si="2"/>
        <v>22052.25</v>
      </c>
    </row>
    <row r="31" spans="1:6" collapsed="1" x14ac:dyDescent="0.25">
      <c r="A31" s="26" t="s">
        <v>17</v>
      </c>
      <c r="B31" s="26" t="s">
        <v>23</v>
      </c>
      <c r="C31" s="27">
        <f>SUBTOTAL(9,VENDA3)</f>
        <v>565</v>
      </c>
      <c r="D31" s="28" t="s">
        <v>19</v>
      </c>
      <c r="E31" s="26" t="s">
        <v>19</v>
      </c>
      <c r="F31" s="26">
        <f>SUBTOTAL(9,F22:F30)</f>
        <v>71701.53</v>
      </c>
    </row>
    <row r="32" spans="1:6" hidden="1" outlineLevel="2" x14ac:dyDescent="0.25">
      <c r="A32" s="18">
        <v>32</v>
      </c>
      <c r="B32" s="18" t="s">
        <v>24</v>
      </c>
      <c r="C32" s="19">
        <v>71</v>
      </c>
      <c r="D32" s="20">
        <v>14.4</v>
      </c>
      <c r="E32" s="21">
        <v>46353</v>
      </c>
      <c r="F32" s="18">
        <f t="shared" ref="F32:F40" si="3">ROUND(C32*D32,2)</f>
        <v>1022.4</v>
      </c>
    </row>
    <row r="33" spans="1:6" hidden="1" outlineLevel="2" x14ac:dyDescent="0.25">
      <c r="A33" s="22">
        <v>33</v>
      </c>
      <c r="B33" s="22" t="s">
        <v>24</v>
      </c>
      <c r="C33" s="23">
        <v>86</v>
      </c>
      <c r="D33" s="24">
        <v>211.41</v>
      </c>
      <c r="E33" s="25">
        <v>46354</v>
      </c>
      <c r="F33" s="22">
        <f t="shared" si="3"/>
        <v>18181.259999999998</v>
      </c>
    </row>
    <row r="34" spans="1:6" hidden="1" outlineLevel="2" x14ac:dyDescent="0.25">
      <c r="A34" s="18">
        <v>34</v>
      </c>
      <c r="B34" s="18" t="s">
        <v>24</v>
      </c>
      <c r="C34" s="19">
        <v>38</v>
      </c>
      <c r="D34" s="20">
        <v>48.83</v>
      </c>
      <c r="E34" s="21">
        <v>46355</v>
      </c>
      <c r="F34" s="18">
        <f t="shared" si="3"/>
        <v>1855.54</v>
      </c>
    </row>
    <row r="35" spans="1:6" hidden="1" outlineLevel="2" x14ac:dyDescent="0.25">
      <c r="A35" s="22">
        <v>35</v>
      </c>
      <c r="B35" s="22" t="s">
        <v>24</v>
      </c>
      <c r="C35" s="23">
        <v>51</v>
      </c>
      <c r="D35" s="24">
        <v>141.75</v>
      </c>
      <c r="E35" s="25">
        <v>46356</v>
      </c>
      <c r="F35" s="22">
        <f t="shared" si="3"/>
        <v>7229.25</v>
      </c>
    </row>
    <row r="36" spans="1:6" hidden="1" outlineLevel="2" x14ac:dyDescent="0.25">
      <c r="A36" s="18">
        <v>36</v>
      </c>
      <c r="B36" s="18" t="s">
        <v>24</v>
      </c>
      <c r="C36" s="19">
        <v>25</v>
      </c>
      <c r="D36" s="20">
        <v>227.61</v>
      </c>
      <c r="E36" s="21">
        <v>46357</v>
      </c>
      <c r="F36" s="18">
        <f t="shared" si="3"/>
        <v>5690.25</v>
      </c>
    </row>
    <row r="37" spans="1:6" hidden="1" outlineLevel="2" x14ac:dyDescent="0.25">
      <c r="A37" s="22">
        <v>37</v>
      </c>
      <c r="B37" s="22" t="s">
        <v>24</v>
      </c>
      <c r="C37" s="23">
        <v>43</v>
      </c>
      <c r="D37" s="24">
        <v>90.06</v>
      </c>
      <c r="E37" s="25">
        <v>46358</v>
      </c>
      <c r="F37" s="22">
        <f t="shared" si="3"/>
        <v>3872.58</v>
      </c>
    </row>
    <row r="38" spans="1:6" hidden="1" outlineLevel="2" x14ac:dyDescent="0.25">
      <c r="A38" s="18">
        <v>38</v>
      </c>
      <c r="B38" s="18" t="s">
        <v>24</v>
      </c>
      <c r="C38" s="19">
        <v>90</v>
      </c>
      <c r="D38" s="20">
        <v>151.28</v>
      </c>
      <c r="E38" s="21">
        <v>46359</v>
      </c>
      <c r="F38" s="18">
        <f t="shared" si="3"/>
        <v>13615.2</v>
      </c>
    </row>
    <row r="39" spans="1:6" hidden="1" outlineLevel="2" x14ac:dyDescent="0.25">
      <c r="A39" s="22">
        <v>39</v>
      </c>
      <c r="B39" s="22" t="s">
        <v>24</v>
      </c>
      <c r="C39" s="23">
        <v>34</v>
      </c>
      <c r="D39" s="24">
        <v>138.61000000000001</v>
      </c>
      <c r="E39" s="25">
        <v>46360</v>
      </c>
      <c r="F39" s="22">
        <f t="shared" si="3"/>
        <v>4712.74</v>
      </c>
    </row>
    <row r="40" spans="1:6" hidden="1" outlineLevel="2" x14ac:dyDescent="0.25">
      <c r="A40" s="18">
        <v>40</v>
      </c>
      <c r="B40" s="18" t="s">
        <v>24</v>
      </c>
      <c r="C40" s="19">
        <v>93</v>
      </c>
      <c r="D40" s="20">
        <v>108.55</v>
      </c>
      <c r="E40" s="21">
        <v>46361</v>
      </c>
      <c r="F40" s="18">
        <f t="shared" si="3"/>
        <v>10095.15</v>
      </c>
    </row>
    <row r="41" spans="1:6" collapsed="1" x14ac:dyDescent="0.25">
      <c r="A41" s="26" t="s">
        <v>17</v>
      </c>
      <c r="B41" s="26" t="s">
        <v>25</v>
      </c>
      <c r="C41" s="27">
        <f>SUBTOTAL(9,VENDA4)</f>
        <v>531</v>
      </c>
      <c r="D41" s="28" t="s">
        <v>19</v>
      </c>
      <c r="E41" s="26" t="s">
        <v>19</v>
      </c>
      <c r="F41" s="26">
        <f>SUBTOTAL(9,F32:F40)</f>
        <v>66274.37</v>
      </c>
    </row>
    <row r="42" spans="1:6" hidden="1" outlineLevel="2" x14ac:dyDescent="0.25">
      <c r="A42" s="18">
        <v>42</v>
      </c>
      <c r="B42" s="18" t="s">
        <v>26</v>
      </c>
      <c r="C42" s="19">
        <v>42</v>
      </c>
      <c r="D42" s="20">
        <v>102.72</v>
      </c>
      <c r="E42" s="21">
        <v>46363</v>
      </c>
      <c r="F42" s="18">
        <f t="shared" ref="F42:F50" si="4">ROUND(C42*D42,2)</f>
        <v>4314.24</v>
      </c>
    </row>
    <row r="43" spans="1:6" hidden="1" outlineLevel="2" x14ac:dyDescent="0.25">
      <c r="A43" s="22">
        <v>43</v>
      </c>
      <c r="B43" s="22" t="s">
        <v>26</v>
      </c>
      <c r="C43" s="23">
        <v>54</v>
      </c>
      <c r="D43" s="24">
        <v>135.24</v>
      </c>
      <c r="E43" s="25">
        <v>46364</v>
      </c>
      <c r="F43" s="22">
        <f t="shared" si="4"/>
        <v>7302.96</v>
      </c>
    </row>
    <row r="44" spans="1:6" hidden="1" outlineLevel="2" x14ac:dyDescent="0.25">
      <c r="A44" s="18">
        <v>44</v>
      </c>
      <c r="B44" s="18" t="s">
        <v>26</v>
      </c>
      <c r="C44" s="19">
        <v>38</v>
      </c>
      <c r="D44" s="20">
        <v>68.12</v>
      </c>
      <c r="E44" s="21">
        <v>46365</v>
      </c>
      <c r="F44" s="18">
        <f t="shared" si="4"/>
        <v>2588.56</v>
      </c>
    </row>
    <row r="45" spans="1:6" hidden="1" outlineLevel="2" x14ac:dyDescent="0.25">
      <c r="A45" s="22">
        <v>45</v>
      </c>
      <c r="B45" s="22" t="s">
        <v>26</v>
      </c>
      <c r="C45" s="23">
        <v>4</v>
      </c>
      <c r="D45" s="24">
        <v>23.2</v>
      </c>
      <c r="E45" s="25">
        <v>46366</v>
      </c>
      <c r="F45" s="22">
        <f t="shared" si="4"/>
        <v>92.8</v>
      </c>
    </row>
    <row r="46" spans="1:6" hidden="1" outlineLevel="2" x14ac:dyDescent="0.25">
      <c r="A46" s="18">
        <v>46</v>
      </c>
      <c r="B46" s="18" t="s">
        <v>26</v>
      </c>
      <c r="C46" s="19">
        <v>58</v>
      </c>
      <c r="D46" s="20">
        <v>115.08</v>
      </c>
      <c r="E46" s="21">
        <v>46367</v>
      </c>
      <c r="F46" s="18">
        <f t="shared" si="4"/>
        <v>6674.64</v>
      </c>
    </row>
    <row r="47" spans="1:6" hidden="1" outlineLevel="2" x14ac:dyDescent="0.25">
      <c r="A47" s="22">
        <v>47</v>
      </c>
      <c r="B47" s="22" t="s">
        <v>26</v>
      </c>
      <c r="C47" s="23">
        <v>6</v>
      </c>
      <c r="D47" s="24">
        <v>76.23</v>
      </c>
      <c r="E47" s="25">
        <v>46368</v>
      </c>
      <c r="F47" s="22">
        <f t="shared" si="4"/>
        <v>457.38</v>
      </c>
    </row>
    <row r="48" spans="1:6" hidden="1" outlineLevel="2" x14ac:dyDescent="0.25">
      <c r="A48" s="18">
        <v>48</v>
      </c>
      <c r="B48" s="18" t="s">
        <v>26</v>
      </c>
      <c r="C48" s="19">
        <v>27</v>
      </c>
      <c r="D48" s="20">
        <v>23.18</v>
      </c>
      <c r="E48" s="21">
        <v>46369</v>
      </c>
      <c r="F48" s="18">
        <f t="shared" si="4"/>
        <v>625.86</v>
      </c>
    </row>
    <row r="49" spans="1:6" hidden="1" outlineLevel="2" x14ac:dyDescent="0.25">
      <c r="A49" s="22">
        <v>49</v>
      </c>
      <c r="B49" s="22" t="s">
        <v>26</v>
      </c>
      <c r="C49" s="23">
        <v>41</v>
      </c>
      <c r="D49" s="24">
        <v>128.80000000000001</v>
      </c>
      <c r="E49" s="25">
        <v>46370</v>
      </c>
      <c r="F49" s="22">
        <f t="shared" si="4"/>
        <v>5280.8</v>
      </c>
    </row>
    <row r="50" spans="1:6" hidden="1" outlineLevel="2" x14ac:dyDescent="0.25">
      <c r="A50" s="18">
        <v>50</v>
      </c>
      <c r="B50" s="18" t="s">
        <v>26</v>
      </c>
      <c r="C50" s="19">
        <v>69</v>
      </c>
      <c r="D50" s="20">
        <v>10.1</v>
      </c>
      <c r="E50" s="21">
        <v>46371</v>
      </c>
      <c r="F50" s="18">
        <f t="shared" si="4"/>
        <v>696.9</v>
      </c>
    </row>
    <row r="51" spans="1:6" collapsed="1" x14ac:dyDescent="0.25">
      <c r="A51" s="26" t="s">
        <v>17</v>
      </c>
      <c r="B51" s="26" t="s">
        <v>27</v>
      </c>
      <c r="C51" s="27">
        <f>SUBTOTAL(9,VENDA5)</f>
        <v>339</v>
      </c>
      <c r="D51" s="28" t="s">
        <v>19</v>
      </c>
      <c r="E51" s="26" t="s">
        <v>19</v>
      </c>
      <c r="F51" s="26">
        <f>SUBTOTAL(9,F42:F50)</f>
        <v>28034.140000000003</v>
      </c>
    </row>
    <row r="52" spans="1:6" hidden="1" outlineLevel="2" x14ac:dyDescent="0.25">
      <c r="A52" s="18">
        <v>52</v>
      </c>
      <c r="B52" s="18" t="s">
        <v>28</v>
      </c>
      <c r="C52" s="19">
        <v>64</v>
      </c>
      <c r="D52" s="20">
        <v>84.9</v>
      </c>
      <c r="E52" s="21">
        <v>46373</v>
      </c>
      <c r="F52" s="18">
        <f t="shared" ref="F52:F60" si="5">ROUND(C52*D52,2)</f>
        <v>5433.6</v>
      </c>
    </row>
    <row r="53" spans="1:6" hidden="1" outlineLevel="2" x14ac:dyDescent="0.25">
      <c r="A53" s="22">
        <v>53</v>
      </c>
      <c r="B53" s="22" t="s">
        <v>28</v>
      </c>
      <c r="C53" s="23">
        <v>99</v>
      </c>
      <c r="D53" s="24">
        <v>149.76</v>
      </c>
      <c r="E53" s="25">
        <v>46374</v>
      </c>
      <c r="F53" s="22">
        <f t="shared" si="5"/>
        <v>14826.24</v>
      </c>
    </row>
    <row r="54" spans="1:6" hidden="1" outlineLevel="2" x14ac:dyDescent="0.25">
      <c r="A54" s="18">
        <v>54</v>
      </c>
      <c r="B54" s="18" t="s">
        <v>28</v>
      </c>
      <c r="C54" s="19">
        <v>24</v>
      </c>
      <c r="D54" s="20">
        <v>53.55</v>
      </c>
      <c r="E54" s="21">
        <v>46375</v>
      </c>
      <c r="F54" s="18">
        <f t="shared" si="5"/>
        <v>1285.2</v>
      </c>
    </row>
    <row r="55" spans="1:6" hidden="1" outlineLevel="2" x14ac:dyDescent="0.25">
      <c r="A55" s="22">
        <v>55</v>
      </c>
      <c r="B55" s="22" t="s">
        <v>28</v>
      </c>
      <c r="C55" s="23">
        <v>5</v>
      </c>
      <c r="D55" s="24">
        <v>124.66</v>
      </c>
      <c r="E55" s="25">
        <v>46376</v>
      </c>
      <c r="F55" s="22">
        <f t="shared" si="5"/>
        <v>623.29999999999995</v>
      </c>
    </row>
    <row r="56" spans="1:6" hidden="1" outlineLevel="2" x14ac:dyDescent="0.25">
      <c r="A56" s="18">
        <v>56</v>
      </c>
      <c r="B56" s="18" t="s">
        <v>28</v>
      </c>
      <c r="C56" s="19">
        <v>10</v>
      </c>
      <c r="D56" s="20">
        <v>145.19999999999999</v>
      </c>
      <c r="E56" s="21">
        <v>46377</v>
      </c>
      <c r="F56" s="18">
        <f t="shared" si="5"/>
        <v>1452</v>
      </c>
    </row>
    <row r="57" spans="1:6" hidden="1" outlineLevel="2" x14ac:dyDescent="0.25">
      <c r="A57" s="22">
        <v>57</v>
      </c>
      <c r="B57" s="22" t="s">
        <v>28</v>
      </c>
      <c r="C57" s="23">
        <v>77</v>
      </c>
      <c r="D57" s="24">
        <v>222.68</v>
      </c>
      <c r="E57" s="25">
        <v>46378</v>
      </c>
      <c r="F57" s="22">
        <f t="shared" si="5"/>
        <v>17146.36</v>
      </c>
    </row>
    <row r="58" spans="1:6" hidden="1" outlineLevel="2" x14ac:dyDescent="0.25">
      <c r="A58" s="18">
        <v>58</v>
      </c>
      <c r="B58" s="18" t="s">
        <v>28</v>
      </c>
      <c r="C58" s="19">
        <v>58</v>
      </c>
      <c r="D58" s="20">
        <v>2.57</v>
      </c>
      <c r="E58" s="21">
        <v>46379</v>
      </c>
      <c r="F58" s="18">
        <f t="shared" si="5"/>
        <v>149.06</v>
      </c>
    </row>
    <row r="59" spans="1:6" hidden="1" outlineLevel="2" x14ac:dyDescent="0.25">
      <c r="A59" s="22">
        <v>59</v>
      </c>
      <c r="B59" s="22" t="s">
        <v>28</v>
      </c>
      <c r="C59" s="23">
        <v>97</v>
      </c>
      <c r="D59" s="24">
        <v>179.4</v>
      </c>
      <c r="E59" s="25">
        <v>46380</v>
      </c>
      <c r="F59" s="22">
        <f t="shared" si="5"/>
        <v>17401.8</v>
      </c>
    </row>
    <row r="60" spans="1:6" hidden="1" outlineLevel="2" x14ac:dyDescent="0.25">
      <c r="A60" s="18">
        <v>60</v>
      </c>
      <c r="B60" s="18" t="s">
        <v>28</v>
      </c>
      <c r="C60" s="19">
        <v>88</v>
      </c>
      <c r="D60" s="20">
        <v>116.07</v>
      </c>
      <c r="E60" s="21">
        <v>46381</v>
      </c>
      <c r="F60" s="18">
        <f t="shared" si="5"/>
        <v>10214.16</v>
      </c>
    </row>
    <row r="61" spans="1:6" collapsed="1" x14ac:dyDescent="0.25">
      <c r="A61" s="26" t="s">
        <v>17</v>
      </c>
      <c r="B61" s="26" t="s">
        <v>29</v>
      </c>
      <c r="C61" s="27">
        <f>SUBTOTAL(9,VENDA6)</f>
        <v>522</v>
      </c>
      <c r="D61" s="28" t="s">
        <v>19</v>
      </c>
      <c r="E61" s="26" t="s">
        <v>19</v>
      </c>
      <c r="F61" s="26">
        <f>SUBTOTAL(9,F52:F60)</f>
        <v>68531.72</v>
      </c>
    </row>
    <row r="62" spans="1:6" hidden="1" outlineLevel="2" x14ac:dyDescent="0.25">
      <c r="A62" s="18">
        <v>62</v>
      </c>
      <c r="B62" s="18" t="s">
        <v>30</v>
      </c>
      <c r="C62" s="19">
        <v>64</v>
      </c>
      <c r="D62" s="20">
        <v>93.84</v>
      </c>
      <c r="E62" s="21">
        <v>46383</v>
      </c>
      <c r="F62" s="18">
        <f t="shared" ref="F62:F70" si="6">ROUND(C62*D62,2)</f>
        <v>6005.76</v>
      </c>
    </row>
    <row r="63" spans="1:6" hidden="1" outlineLevel="2" x14ac:dyDescent="0.25">
      <c r="A63" s="22">
        <v>63</v>
      </c>
      <c r="B63" s="22" t="s">
        <v>30</v>
      </c>
      <c r="C63" s="23">
        <v>29</v>
      </c>
      <c r="D63" s="24">
        <v>89.76</v>
      </c>
      <c r="E63" s="25">
        <v>46384</v>
      </c>
      <c r="F63" s="22">
        <f t="shared" si="6"/>
        <v>2603.04</v>
      </c>
    </row>
    <row r="64" spans="1:6" hidden="1" outlineLevel="2" x14ac:dyDescent="0.25">
      <c r="A64" s="18">
        <v>64</v>
      </c>
      <c r="B64" s="18" t="s">
        <v>30</v>
      </c>
      <c r="C64" s="19">
        <v>80</v>
      </c>
      <c r="D64" s="20">
        <v>218.3</v>
      </c>
      <c r="E64" s="21">
        <v>46385</v>
      </c>
      <c r="F64" s="18">
        <f t="shared" si="6"/>
        <v>17464</v>
      </c>
    </row>
    <row r="65" spans="1:6" hidden="1" outlineLevel="2" x14ac:dyDescent="0.25">
      <c r="A65" s="22">
        <v>65</v>
      </c>
      <c r="B65" s="22" t="s">
        <v>30</v>
      </c>
      <c r="C65" s="23">
        <v>79</v>
      </c>
      <c r="D65" s="24">
        <v>4.9000000000000004</v>
      </c>
      <c r="E65" s="25">
        <v>46386</v>
      </c>
      <c r="F65" s="22">
        <f t="shared" si="6"/>
        <v>387.1</v>
      </c>
    </row>
    <row r="66" spans="1:6" hidden="1" outlineLevel="2" x14ac:dyDescent="0.25">
      <c r="A66" s="18">
        <v>66</v>
      </c>
      <c r="B66" s="18" t="s">
        <v>30</v>
      </c>
      <c r="C66" s="19">
        <v>24</v>
      </c>
      <c r="D66" s="20">
        <v>165.55</v>
      </c>
      <c r="E66" s="21">
        <v>46387</v>
      </c>
      <c r="F66" s="18">
        <f t="shared" si="6"/>
        <v>3973.2</v>
      </c>
    </row>
    <row r="67" spans="1:6" hidden="1" outlineLevel="2" x14ac:dyDescent="0.25">
      <c r="A67" s="22">
        <v>67</v>
      </c>
      <c r="B67" s="22" t="s">
        <v>30</v>
      </c>
      <c r="C67" s="23">
        <v>1</v>
      </c>
      <c r="D67" s="24">
        <v>64.02</v>
      </c>
      <c r="E67" s="25">
        <v>46388</v>
      </c>
      <c r="F67" s="22">
        <f t="shared" si="6"/>
        <v>64.02</v>
      </c>
    </row>
    <row r="68" spans="1:6" hidden="1" outlineLevel="2" x14ac:dyDescent="0.25">
      <c r="A68" s="18">
        <v>68</v>
      </c>
      <c r="B68" s="18" t="s">
        <v>30</v>
      </c>
      <c r="C68" s="19">
        <v>41</v>
      </c>
      <c r="D68" s="20">
        <v>40.299999999999997</v>
      </c>
      <c r="E68" s="21">
        <v>46389</v>
      </c>
      <c r="F68" s="18">
        <f t="shared" si="6"/>
        <v>1652.3</v>
      </c>
    </row>
    <row r="69" spans="1:6" hidden="1" outlineLevel="2" x14ac:dyDescent="0.25">
      <c r="A69" s="22">
        <v>69</v>
      </c>
      <c r="B69" s="22" t="s">
        <v>30</v>
      </c>
      <c r="C69" s="23">
        <v>25</v>
      </c>
      <c r="D69" s="24">
        <v>84</v>
      </c>
      <c r="E69" s="25">
        <v>46390</v>
      </c>
      <c r="F69" s="22">
        <f t="shared" si="6"/>
        <v>2100</v>
      </c>
    </row>
    <row r="70" spans="1:6" hidden="1" outlineLevel="2" x14ac:dyDescent="0.25">
      <c r="A70" s="18">
        <v>70</v>
      </c>
      <c r="B70" s="18" t="s">
        <v>30</v>
      </c>
      <c r="C70" s="19">
        <v>30</v>
      </c>
      <c r="D70" s="20">
        <v>5.86</v>
      </c>
      <c r="E70" s="21">
        <v>46391</v>
      </c>
      <c r="F70" s="18">
        <f t="shared" si="6"/>
        <v>175.8</v>
      </c>
    </row>
    <row r="71" spans="1:6" collapsed="1" x14ac:dyDescent="0.25">
      <c r="A71" s="26" t="s">
        <v>17</v>
      </c>
      <c r="B71" s="26" t="s">
        <v>31</v>
      </c>
      <c r="C71" s="27">
        <f>SUBTOTAL(9,VENDA7)</f>
        <v>373</v>
      </c>
      <c r="D71" s="28" t="s">
        <v>19</v>
      </c>
      <c r="E71" s="26" t="s">
        <v>19</v>
      </c>
      <c r="F71" s="26">
        <f>SUBTOTAL(9,F62:F70)</f>
        <v>34425.22</v>
      </c>
    </row>
    <row r="72" spans="1:6" hidden="1" outlineLevel="2" x14ac:dyDescent="0.25">
      <c r="A72" s="18">
        <v>72</v>
      </c>
      <c r="B72" s="18" t="s">
        <v>32</v>
      </c>
      <c r="C72" s="19">
        <v>92</v>
      </c>
      <c r="D72" s="20">
        <v>60.42</v>
      </c>
      <c r="E72" s="21">
        <v>46393</v>
      </c>
      <c r="F72" s="18">
        <f t="shared" ref="F72:F80" si="7">ROUND(C72*D72,2)</f>
        <v>5558.64</v>
      </c>
    </row>
    <row r="73" spans="1:6" hidden="1" outlineLevel="2" x14ac:dyDescent="0.25">
      <c r="A73" s="22">
        <v>73</v>
      </c>
      <c r="B73" s="22" t="s">
        <v>32</v>
      </c>
      <c r="C73" s="23">
        <v>77</v>
      </c>
      <c r="D73" s="24">
        <v>10.039999999999999</v>
      </c>
      <c r="E73" s="25">
        <v>46394</v>
      </c>
      <c r="F73" s="22">
        <f t="shared" si="7"/>
        <v>773.08</v>
      </c>
    </row>
    <row r="74" spans="1:6" hidden="1" outlineLevel="2" x14ac:dyDescent="0.25">
      <c r="A74" s="18">
        <v>74</v>
      </c>
      <c r="B74" s="18" t="s">
        <v>32</v>
      </c>
      <c r="C74" s="19">
        <v>10</v>
      </c>
      <c r="D74" s="20">
        <v>23.37</v>
      </c>
      <c r="E74" s="21">
        <v>46395</v>
      </c>
      <c r="F74" s="18">
        <f t="shared" si="7"/>
        <v>233.7</v>
      </c>
    </row>
    <row r="75" spans="1:6" hidden="1" outlineLevel="2" x14ac:dyDescent="0.25">
      <c r="A75" s="22">
        <v>75</v>
      </c>
      <c r="B75" s="22" t="s">
        <v>32</v>
      </c>
      <c r="C75" s="23">
        <v>46</v>
      </c>
      <c r="D75" s="24">
        <v>136.77000000000001</v>
      </c>
      <c r="E75" s="25">
        <v>46396</v>
      </c>
      <c r="F75" s="22">
        <f t="shared" si="7"/>
        <v>6291.42</v>
      </c>
    </row>
    <row r="76" spans="1:6" hidden="1" outlineLevel="2" x14ac:dyDescent="0.25">
      <c r="A76" s="18">
        <v>76</v>
      </c>
      <c r="B76" s="18" t="s">
        <v>32</v>
      </c>
      <c r="C76" s="19">
        <v>83</v>
      </c>
      <c r="D76" s="20">
        <v>20.88</v>
      </c>
      <c r="E76" s="21">
        <v>46397</v>
      </c>
      <c r="F76" s="18">
        <f t="shared" si="7"/>
        <v>1733.04</v>
      </c>
    </row>
    <row r="77" spans="1:6" hidden="1" outlineLevel="2" x14ac:dyDescent="0.25">
      <c r="A77" s="22">
        <v>77</v>
      </c>
      <c r="B77" s="22" t="s">
        <v>32</v>
      </c>
      <c r="C77" s="23">
        <v>65</v>
      </c>
      <c r="D77" s="24">
        <v>177.94</v>
      </c>
      <c r="E77" s="25">
        <v>46398</v>
      </c>
      <c r="F77" s="22">
        <f t="shared" si="7"/>
        <v>11566.1</v>
      </c>
    </row>
    <row r="78" spans="1:6" hidden="1" outlineLevel="2" x14ac:dyDescent="0.25">
      <c r="A78" s="18">
        <v>78</v>
      </c>
      <c r="B78" s="18" t="s">
        <v>32</v>
      </c>
      <c r="C78" s="19">
        <v>72</v>
      </c>
      <c r="D78" s="20">
        <v>219.51</v>
      </c>
      <c r="E78" s="21">
        <v>46399</v>
      </c>
      <c r="F78" s="18">
        <f t="shared" si="7"/>
        <v>15804.72</v>
      </c>
    </row>
    <row r="79" spans="1:6" hidden="1" outlineLevel="2" x14ac:dyDescent="0.25">
      <c r="A79" s="22">
        <v>79</v>
      </c>
      <c r="B79" s="22" t="s">
        <v>32</v>
      </c>
      <c r="C79" s="23">
        <v>84</v>
      </c>
      <c r="D79" s="24">
        <v>11.88</v>
      </c>
      <c r="E79" s="25">
        <v>46400</v>
      </c>
      <c r="F79" s="22">
        <f t="shared" si="7"/>
        <v>997.92</v>
      </c>
    </row>
    <row r="80" spans="1:6" hidden="1" outlineLevel="2" x14ac:dyDescent="0.25">
      <c r="A80" s="18">
        <v>80</v>
      </c>
      <c r="B80" s="18" t="s">
        <v>32</v>
      </c>
      <c r="C80" s="19">
        <v>34</v>
      </c>
      <c r="D80" s="20">
        <v>46.72</v>
      </c>
      <c r="E80" s="21">
        <v>46401</v>
      </c>
      <c r="F80" s="18">
        <f t="shared" si="7"/>
        <v>1588.48</v>
      </c>
    </row>
    <row r="81" spans="1:6" collapsed="1" x14ac:dyDescent="0.25">
      <c r="A81" s="26" t="s">
        <v>17</v>
      </c>
      <c r="B81" s="26" t="s">
        <v>33</v>
      </c>
      <c r="C81" s="27">
        <f>SUBTOTAL(9,VENDA8)</f>
        <v>563</v>
      </c>
      <c r="D81" s="28" t="s">
        <v>19</v>
      </c>
      <c r="E81" s="26" t="s">
        <v>19</v>
      </c>
      <c r="F81" s="26">
        <f>SUBTOTAL(9,F72:F80)</f>
        <v>44547.100000000006</v>
      </c>
    </row>
    <row r="82" spans="1:6" hidden="1" outlineLevel="2" x14ac:dyDescent="0.25">
      <c r="A82" s="18">
        <v>82</v>
      </c>
      <c r="B82" s="18" t="s">
        <v>34</v>
      </c>
      <c r="C82" s="19">
        <v>90</v>
      </c>
      <c r="D82" s="20">
        <v>50.85</v>
      </c>
      <c r="E82" s="21">
        <v>46403</v>
      </c>
      <c r="F82" s="18">
        <f t="shared" ref="F82:F90" si="8">ROUND(C82*D82,2)</f>
        <v>4576.5</v>
      </c>
    </row>
    <row r="83" spans="1:6" hidden="1" outlineLevel="2" x14ac:dyDescent="0.25">
      <c r="A83" s="22">
        <v>83</v>
      </c>
      <c r="B83" s="22" t="s">
        <v>34</v>
      </c>
      <c r="C83" s="23">
        <v>55</v>
      </c>
      <c r="D83" s="24">
        <v>30.4</v>
      </c>
      <c r="E83" s="25">
        <v>46404</v>
      </c>
      <c r="F83" s="22">
        <f t="shared" si="8"/>
        <v>1672</v>
      </c>
    </row>
    <row r="84" spans="1:6" hidden="1" outlineLevel="2" x14ac:dyDescent="0.25">
      <c r="A84" s="18">
        <v>84</v>
      </c>
      <c r="B84" s="18" t="s">
        <v>34</v>
      </c>
      <c r="C84" s="19">
        <v>90</v>
      </c>
      <c r="D84" s="20">
        <v>6.2</v>
      </c>
      <c r="E84" s="21">
        <v>46405</v>
      </c>
      <c r="F84" s="18">
        <f t="shared" si="8"/>
        <v>558</v>
      </c>
    </row>
    <row r="85" spans="1:6" hidden="1" outlineLevel="2" x14ac:dyDescent="0.25">
      <c r="A85" s="22">
        <v>85</v>
      </c>
      <c r="B85" s="22" t="s">
        <v>34</v>
      </c>
      <c r="C85" s="23">
        <v>61</v>
      </c>
      <c r="D85" s="24">
        <v>93.15</v>
      </c>
      <c r="E85" s="25">
        <v>46406</v>
      </c>
      <c r="F85" s="22">
        <f t="shared" si="8"/>
        <v>5682.15</v>
      </c>
    </row>
    <row r="86" spans="1:6" hidden="1" outlineLevel="2" x14ac:dyDescent="0.25">
      <c r="A86" s="18">
        <v>86</v>
      </c>
      <c r="B86" s="18" t="s">
        <v>34</v>
      </c>
      <c r="C86" s="19">
        <v>39</v>
      </c>
      <c r="D86" s="20">
        <v>16.079999999999998</v>
      </c>
      <c r="E86" s="21">
        <v>46407</v>
      </c>
      <c r="F86" s="18">
        <f t="shared" si="8"/>
        <v>627.12</v>
      </c>
    </row>
    <row r="87" spans="1:6" hidden="1" outlineLevel="2" x14ac:dyDescent="0.25">
      <c r="A87" s="22">
        <v>87</v>
      </c>
      <c r="B87" s="22" t="s">
        <v>34</v>
      </c>
      <c r="C87" s="23">
        <v>74</v>
      </c>
      <c r="D87" s="24">
        <v>2.14</v>
      </c>
      <c r="E87" s="25">
        <v>46408</v>
      </c>
      <c r="F87" s="22">
        <f t="shared" si="8"/>
        <v>158.36000000000001</v>
      </c>
    </row>
    <row r="88" spans="1:6" hidden="1" outlineLevel="2" x14ac:dyDescent="0.25">
      <c r="A88" s="18">
        <v>88</v>
      </c>
      <c r="B88" s="18" t="s">
        <v>34</v>
      </c>
      <c r="C88" s="19">
        <v>26</v>
      </c>
      <c r="D88" s="20">
        <v>226.06</v>
      </c>
      <c r="E88" s="21">
        <v>46409</v>
      </c>
      <c r="F88" s="18">
        <f t="shared" si="8"/>
        <v>5877.56</v>
      </c>
    </row>
    <row r="89" spans="1:6" hidden="1" outlineLevel="2" x14ac:dyDescent="0.25">
      <c r="A89" s="22">
        <v>89</v>
      </c>
      <c r="B89" s="22" t="s">
        <v>34</v>
      </c>
      <c r="C89" s="23">
        <v>69</v>
      </c>
      <c r="D89" s="24">
        <v>143.63999999999999</v>
      </c>
      <c r="E89" s="25">
        <v>46410</v>
      </c>
      <c r="F89" s="22">
        <f t="shared" si="8"/>
        <v>9911.16</v>
      </c>
    </row>
    <row r="90" spans="1:6" hidden="1" outlineLevel="2" x14ac:dyDescent="0.25">
      <c r="A90" s="18">
        <v>90</v>
      </c>
      <c r="B90" s="18" t="s">
        <v>34</v>
      </c>
      <c r="C90" s="19">
        <v>15</v>
      </c>
      <c r="D90" s="20">
        <v>260.38</v>
      </c>
      <c r="E90" s="21">
        <v>46411</v>
      </c>
      <c r="F90" s="18">
        <f t="shared" si="8"/>
        <v>3905.7</v>
      </c>
    </row>
    <row r="91" spans="1:6" collapsed="1" x14ac:dyDescent="0.25">
      <c r="A91" s="26" t="s">
        <v>17</v>
      </c>
      <c r="B91" s="26" t="s">
        <v>35</v>
      </c>
      <c r="C91" s="27">
        <f>SUBTOTAL(9,VENDA9)</f>
        <v>519</v>
      </c>
      <c r="D91" s="28" t="s">
        <v>19</v>
      </c>
      <c r="E91" s="26" t="s">
        <v>19</v>
      </c>
      <c r="F91" s="26">
        <f>SUBTOTAL(9,F82:F90)</f>
        <v>32968.550000000003</v>
      </c>
    </row>
    <row r="92" spans="1:6" hidden="1" outlineLevel="2" x14ac:dyDescent="0.25">
      <c r="A92" s="18">
        <v>92</v>
      </c>
      <c r="B92" s="18" t="s">
        <v>36</v>
      </c>
      <c r="C92" s="19">
        <v>98</v>
      </c>
      <c r="D92" s="20">
        <v>152.81</v>
      </c>
      <c r="E92" s="21">
        <v>46413</v>
      </c>
      <c r="F92" s="18">
        <f t="shared" ref="F92:F100" si="9">ROUND(C92*D92,2)</f>
        <v>14975.38</v>
      </c>
    </row>
    <row r="93" spans="1:6" hidden="1" outlineLevel="2" x14ac:dyDescent="0.25">
      <c r="A93" s="22">
        <v>93</v>
      </c>
      <c r="B93" s="22" t="s">
        <v>36</v>
      </c>
      <c r="C93" s="23">
        <v>73</v>
      </c>
      <c r="D93" s="24">
        <v>112.32</v>
      </c>
      <c r="E93" s="25">
        <v>46414</v>
      </c>
      <c r="F93" s="22">
        <f t="shared" si="9"/>
        <v>8199.36</v>
      </c>
    </row>
    <row r="94" spans="1:6" hidden="1" outlineLevel="2" x14ac:dyDescent="0.25">
      <c r="A94" s="18">
        <v>94</v>
      </c>
      <c r="B94" s="18" t="s">
        <v>36</v>
      </c>
      <c r="C94" s="19">
        <v>53</v>
      </c>
      <c r="D94" s="20">
        <v>130.80000000000001</v>
      </c>
      <c r="E94" s="21">
        <v>46415</v>
      </c>
      <c r="F94" s="18">
        <f t="shared" si="9"/>
        <v>6932.4</v>
      </c>
    </row>
    <row r="95" spans="1:6" hidden="1" outlineLevel="2" x14ac:dyDescent="0.25">
      <c r="A95" s="22">
        <v>95</v>
      </c>
      <c r="B95" s="22" t="s">
        <v>36</v>
      </c>
      <c r="C95" s="23">
        <v>75</v>
      </c>
      <c r="D95" s="24">
        <v>120.6</v>
      </c>
      <c r="E95" s="25">
        <v>46416</v>
      </c>
      <c r="F95" s="22">
        <f t="shared" si="9"/>
        <v>9045</v>
      </c>
    </row>
    <row r="96" spans="1:6" hidden="1" outlineLevel="2" x14ac:dyDescent="0.25">
      <c r="A96" s="18">
        <v>96</v>
      </c>
      <c r="B96" s="18" t="s">
        <v>36</v>
      </c>
      <c r="C96" s="19">
        <v>29</v>
      </c>
      <c r="D96" s="20">
        <v>127.8</v>
      </c>
      <c r="E96" s="21">
        <v>46417</v>
      </c>
      <c r="F96" s="18">
        <f t="shared" si="9"/>
        <v>3706.2</v>
      </c>
    </row>
    <row r="97" spans="1:6" hidden="1" outlineLevel="2" x14ac:dyDescent="0.25">
      <c r="A97" s="22">
        <v>97</v>
      </c>
      <c r="B97" s="22" t="s">
        <v>36</v>
      </c>
      <c r="C97" s="23">
        <v>55</v>
      </c>
      <c r="D97" s="24">
        <v>61.18</v>
      </c>
      <c r="E97" s="25">
        <v>46418</v>
      </c>
      <c r="F97" s="22">
        <f t="shared" si="9"/>
        <v>3364.9</v>
      </c>
    </row>
    <row r="98" spans="1:6" hidden="1" outlineLevel="2" x14ac:dyDescent="0.25">
      <c r="A98" s="18">
        <v>98</v>
      </c>
      <c r="B98" s="18" t="s">
        <v>36</v>
      </c>
      <c r="C98" s="19">
        <v>98</v>
      </c>
      <c r="D98" s="20">
        <v>197.1</v>
      </c>
      <c r="E98" s="21">
        <v>46419</v>
      </c>
      <c r="F98" s="18">
        <f t="shared" si="9"/>
        <v>19315.8</v>
      </c>
    </row>
    <row r="99" spans="1:6" hidden="1" outlineLevel="2" x14ac:dyDescent="0.25">
      <c r="A99" s="22">
        <v>99</v>
      </c>
      <c r="B99" s="22" t="s">
        <v>36</v>
      </c>
      <c r="C99" s="23">
        <v>36</v>
      </c>
      <c r="D99" s="24">
        <v>130.72</v>
      </c>
      <c r="E99" s="25">
        <v>46420</v>
      </c>
      <c r="F99" s="22">
        <f t="shared" si="9"/>
        <v>4705.92</v>
      </c>
    </row>
    <row r="100" spans="1:6" hidden="1" outlineLevel="2" x14ac:dyDescent="0.25">
      <c r="A100" s="18">
        <v>100</v>
      </c>
      <c r="B100" s="18" t="s">
        <v>36</v>
      </c>
      <c r="C100" s="19">
        <v>71</v>
      </c>
      <c r="D100" s="20">
        <v>25.92</v>
      </c>
      <c r="E100" s="21">
        <v>46421</v>
      </c>
      <c r="F100" s="18">
        <f t="shared" si="9"/>
        <v>1840.32</v>
      </c>
    </row>
    <row r="101" spans="1:6" collapsed="1" x14ac:dyDescent="0.25">
      <c r="A101" s="26" t="s">
        <v>17</v>
      </c>
      <c r="B101" s="26" t="s">
        <v>37</v>
      </c>
      <c r="C101" s="27">
        <f>SUBTOTAL(9,VENDA10)</f>
        <v>588</v>
      </c>
      <c r="D101" s="28" t="s">
        <v>19</v>
      </c>
      <c r="E101" s="26" t="s">
        <v>19</v>
      </c>
      <c r="F101" s="26">
        <f>SUBTOTAL(9,F92:F100)</f>
        <v>72085.279999999999</v>
      </c>
    </row>
    <row r="102" spans="1:6" hidden="1" outlineLevel="2" x14ac:dyDescent="0.25">
      <c r="A102" s="18">
        <v>102</v>
      </c>
      <c r="B102" s="18" t="s">
        <v>38</v>
      </c>
      <c r="C102" s="19">
        <v>74</v>
      </c>
      <c r="D102" s="20">
        <v>152.76</v>
      </c>
      <c r="E102" s="21">
        <v>46423</v>
      </c>
      <c r="F102" s="18">
        <f t="shared" ref="F102:F110" si="10">ROUND(C102*D102,2)</f>
        <v>11304.24</v>
      </c>
    </row>
    <row r="103" spans="1:6" hidden="1" outlineLevel="2" x14ac:dyDescent="0.25">
      <c r="A103" s="22">
        <v>103</v>
      </c>
      <c r="B103" s="22" t="s">
        <v>38</v>
      </c>
      <c r="C103" s="23">
        <v>91</v>
      </c>
      <c r="D103" s="24">
        <v>52.2</v>
      </c>
      <c r="E103" s="25">
        <v>46424</v>
      </c>
      <c r="F103" s="22">
        <f t="shared" si="10"/>
        <v>4750.2</v>
      </c>
    </row>
    <row r="104" spans="1:6" hidden="1" outlineLevel="2" x14ac:dyDescent="0.25">
      <c r="A104" s="18">
        <v>104</v>
      </c>
      <c r="B104" s="18" t="s">
        <v>38</v>
      </c>
      <c r="C104" s="19">
        <v>63</v>
      </c>
      <c r="D104" s="20">
        <v>49.91</v>
      </c>
      <c r="E104" s="21">
        <v>46425</v>
      </c>
      <c r="F104" s="18">
        <f t="shared" si="10"/>
        <v>3144.33</v>
      </c>
    </row>
    <row r="105" spans="1:6" hidden="1" outlineLevel="2" x14ac:dyDescent="0.25">
      <c r="A105" s="22">
        <v>105</v>
      </c>
      <c r="B105" s="22" t="s">
        <v>38</v>
      </c>
      <c r="C105" s="23">
        <v>1</v>
      </c>
      <c r="D105" s="24">
        <v>18.87</v>
      </c>
      <c r="E105" s="25">
        <v>46426</v>
      </c>
      <c r="F105" s="22">
        <f t="shared" si="10"/>
        <v>18.87</v>
      </c>
    </row>
    <row r="106" spans="1:6" hidden="1" outlineLevel="2" x14ac:dyDescent="0.25">
      <c r="A106" s="18">
        <v>106</v>
      </c>
      <c r="B106" s="18" t="s">
        <v>38</v>
      </c>
      <c r="C106" s="19">
        <v>70</v>
      </c>
      <c r="D106" s="20">
        <v>62.37</v>
      </c>
      <c r="E106" s="21">
        <v>46427</v>
      </c>
      <c r="F106" s="18">
        <f t="shared" si="10"/>
        <v>4365.8999999999996</v>
      </c>
    </row>
    <row r="107" spans="1:6" hidden="1" outlineLevel="2" x14ac:dyDescent="0.25">
      <c r="A107" s="22">
        <v>107</v>
      </c>
      <c r="B107" s="22" t="s">
        <v>38</v>
      </c>
      <c r="C107" s="23">
        <v>38</v>
      </c>
      <c r="D107" s="24">
        <v>50.4</v>
      </c>
      <c r="E107" s="25">
        <v>46428</v>
      </c>
      <c r="F107" s="22">
        <f t="shared" si="10"/>
        <v>1915.2</v>
      </c>
    </row>
    <row r="108" spans="1:6" hidden="1" outlineLevel="2" x14ac:dyDescent="0.25">
      <c r="A108" s="18">
        <v>108</v>
      </c>
      <c r="B108" s="18" t="s">
        <v>38</v>
      </c>
      <c r="C108" s="19">
        <v>90</v>
      </c>
      <c r="D108" s="20">
        <v>57.35</v>
      </c>
      <c r="E108" s="21">
        <v>46429</v>
      </c>
      <c r="F108" s="18">
        <f t="shared" si="10"/>
        <v>5161.5</v>
      </c>
    </row>
    <row r="109" spans="1:6" hidden="1" outlineLevel="2" x14ac:dyDescent="0.25">
      <c r="A109" s="22">
        <v>109</v>
      </c>
      <c r="B109" s="22" t="s">
        <v>38</v>
      </c>
      <c r="C109" s="23">
        <v>87</v>
      </c>
      <c r="D109" s="24">
        <v>126.9</v>
      </c>
      <c r="E109" s="25">
        <v>46430</v>
      </c>
      <c r="F109" s="22">
        <f t="shared" si="10"/>
        <v>11040.3</v>
      </c>
    </row>
    <row r="110" spans="1:6" hidden="1" outlineLevel="2" x14ac:dyDescent="0.25">
      <c r="A110" s="18">
        <v>110</v>
      </c>
      <c r="B110" s="18" t="s">
        <v>38</v>
      </c>
      <c r="C110" s="19">
        <v>19</v>
      </c>
      <c r="D110" s="20">
        <v>152.11000000000001</v>
      </c>
      <c r="E110" s="21">
        <v>46431</v>
      </c>
      <c r="F110" s="18">
        <f t="shared" si="10"/>
        <v>2890.09</v>
      </c>
    </row>
    <row r="111" spans="1:6" collapsed="1" x14ac:dyDescent="0.25">
      <c r="A111" s="26" t="s">
        <v>17</v>
      </c>
      <c r="B111" s="26" t="s">
        <v>39</v>
      </c>
      <c r="C111" s="27">
        <f>SUBTOTAL(9,VENDA11)</f>
        <v>533</v>
      </c>
      <c r="D111" s="28" t="s">
        <v>19</v>
      </c>
      <c r="E111" s="26" t="s">
        <v>19</v>
      </c>
      <c r="F111" s="26">
        <f>SUBTOTAL(9,F102:F110)</f>
        <v>44590.62999999999</v>
      </c>
    </row>
    <row r="112" spans="1:6" x14ac:dyDescent="0.25">
      <c r="A112" s="26" t="s">
        <v>40</v>
      </c>
      <c r="B112" s="26" t="s">
        <v>19</v>
      </c>
      <c r="C112" s="27">
        <f>SUMIF(A2:A111,"Sub Total Filial",C2:C111)</f>
        <v>5554</v>
      </c>
      <c r="D112" s="28" t="s">
        <v>19</v>
      </c>
      <c r="E112" s="26" t="s">
        <v>19</v>
      </c>
      <c r="F112" s="26">
        <f>SUMIF($A$2:$A111,"Sub Total Filial",F$2:F111)</f>
        <v>542487.98999999987</v>
      </c>
    </row>
  </sheetData>
  <autoFilter ref="A1:D112" xr:uid="{00000000-0009-0000-0000-000001000000}"/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a">
    <tabColor rgb="FF0000FF"/>
    <pageSetUpPr fitToPage="1"/>
  </sheetPr>
  <dimension ref="A1:D101"/>
  <sheetViews>
    <sheetView showGridLines="0" workbookViewId="0"/>
  </sheetViews>
  <sheetFormatPr defaultRowHeight="15" x14ac:dyDescent="0.25"/>
  <cols>
    <col min="1" max="2" width="12.7109375" bestFit="1" customWidth="1"/>
    <col min="3" max="3" width="20.7109375" bestFit="1" customWidth="1"/>
    <col min="4" max="4" width="12.7109375" bestFit="1" customWidth="1"/>
    <col min="5" max="6" width="18.710937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14</v>
      </c>
    </row>
    <row r="2" spans="1:4" x14ac:dyDescent="0.25">
      <c r="A2">
        <v>2</v>
      </c>
      <c r="B2" t="s">
        <v>16</v>
      </c>
      <c r="C2">
        <v>33</v>
      </c>
      <c r="D2" s="1">
        <v>46323</v>
      </c>
    </row>
    <row r="3" spans="1:4" x14ac:dyDescent="0.25">
      <c r="A3">
        <v>3</v>
      </c>
      <c r="B3" t="s">
        <v>16</v>
      </c>
      <c r="C3">
        <v>63</v>
      </c>
      <c r="D3" s="1">
        <v>46324</v>
      </c>
    </row>
    <row r="4" spans="1:4" x14ac:dyDescent="0.25">
      <c r="A4">
        <v>4</v>
      </c>
      <c r="B4" t="s">
        <v>16</v>
      </c>
      <c r="C4">
        <v>82</v>
      </c>
      <c r="D4" s="1">
        <v>46325</v>
      </c>
    </row>
    <row r="5" spans="1:4" x14ac:dyDescent="0.25">
      <c r="A5">
        <v>5</v>
      </c>
      <c r="B5" t="s">
        <v>16</v>
      </c>
      <c r="C5">
        <v>77</v>
      </c>
      <c r="D5" s="1">
        <v>46326</v>
      </c>
    </row>
    <row r="6" spans="1:4" x14ac:dyDescent="0.25">
      <c r="A6">
        <v>6</v>
      </c>
      <c r="B6" t="s">
        <v>16</v>
      </c>
      <c r="C6">
        <v>34</v>
      </c>
      <c r="D6" s="1">
        <v>46327</v>
      </c>
    </row>
    <row r="7" spans="1:4" x14ac:dyDescent="0.25">
      <c r="A7">
        <v>7</v>
      </c>
      <c r="B7" t="s">
        <v>16</v>
      </c>
      <c r="C7">
        <v>93</v>
      </c>
      <c r="D7" s="1">
        <v>46328</v>
      </c>
    </row>
    <row r="8" spans="1:4" x14ac:dyDescent="0.25">
      <c r="A8">
        <v>8</v>
      </c>
      <c r="B8" t="s">
        <v>16</v>
      </c>
      <c r="C8">
        <v>99</v>
      </c>
      <c r="D8" s="1">
        <v>46329</v>
      </c>
    </row>
    <row r="9" spans="1:4" x14ac:dyDescent="0.25">
      <c r="A9">
        <v>9</v>
      </c>
      <c r="B9" t="s">
        <v>16</v>
      </c>
      <c r="C9">
        <v>52</v>
      </c>
      <c r="D9" s="1">
        <v>46330</v>
      </c>
    </row>
    <row r="10" spans="1:4" x14ac:dyDescent="0.25">
      <c r="A10">
        <v>10</v>
      </c>
      <c r="B10" t="s">
        <v>16</v>
      </c>
      <c r="C10">
        <v>61</v>
      </c>
      <c r="D10" s="1">
        <v>46331</v>
      </c>
    </row>
    <row r="11" spans="1:4" x14ac:dyDescent="0.25">
      <c r="A11">
        <v>11</v>
      </c>
      <c r="B11" t="s">
        <v>20</v>
      </c>
      <c r="C11">
        <v>39</v>
      </c>
      <c r="D11" s="1">
        <v>46332</v>
      </c>
    </row>
    <row r="12" spans="1:4" x14ac:dyDescent="0.25">
      <c r="A12">
        <v>12</v>
      </c>
      <c r="B12" t="s">
        <v>20</v>
      </c>
      <c r="C12">
        <v>38</v>
      </c>
      <c r="D12" s="1">
        <v>46333</v>
      </c>
    </row>
    <row r="13" spans="1:4" x14ac:dyDescent="0.25">
      <c r="A13">
        <v>13</v>
      </c>
      <c r="B13" t="s">
        <v>20</v>
      </c>
      <c r="C13">
        <v>68</v>
      </c>
      <c r="D13" s="1">
        <v>46334</v>
      </c>
    </row>
    <row r="14" spans="1:4" x14ac:dyDescent="0.25">
      <c r="A14">
        <v>14</v>
      </c>
      <c r="B14" t="s">
        <v>20</v>
      </c>
      <c r="C14">
        <v>78</v>
      </c>
      <c r="D14" s="1">
        <v>46335</v>
      </c>
    </row>
    <row r="15" spans="1:4" x14ac:dyDescent="0.25">
      <c r="A15">
        <v>15</v>
      </c>
      <c r="B15" t="s">
        <v>20</v>
      </c>
      <c r="C15">
        <v>51</v>
      </c>
      <c r="D15" s="1">
        <v>46336</v>
      </c>
    </row>
    <row r="16" spans="1:4" x14ac:dyDescent="0.25">
      <c r="A16">
        <v>16</v>
      </c>
      <c r="B16" t="s">
        <v>20</v>
      </c>
      <c r="C16">
        <v>40</v>
      </c>
      <c r="D16" s="1">
        <v>46337</v>
      </c>
    </row>
    <row r="17" spans="1:4" x14ac:dyDescent="0.25">
      <c r="A17">
        <v>17</v>
      </c>
      <c r="B17" t="s">
        <v>20</v>
      </c>
      <c r="C17">
        <v>41</v>
      </c>
      <c r="D17" s="1">
        <v>46338</v>
      </c>
    </row>
    <row r="18" spans="1:4" x14ac:dyDescent="0.25">
      <c r="A18">
        <v>18</v>
      </c>
      <c r="B18" t="s">
        <v>20</v>
      </c>
      <c r="C18">
        <v>27</v>
      </c>
      <c r="D18" s="1">
        <v>46339</v>
      </c>
    </row>
    <row r="19" spans="1:4" x14ac:dyDescent="0.25">
      <c r="A19">
        <v>19</v>
      </c>
      <c r="B19" t="s">
        <v>20</v>
      </c>
      <c r="C19">
        <v>88</v>
      </c>
      <c r="D19" s="1">
        <v>46340</v>
      </c>
    </row>
    <row r="20" spans="1:4" x14ac:dyDescent="0.25">
      <c r="A20">
        <v>20</v>
      </c>
      <c r="B20" t="s">
        <v>20</v>
      </c>
      <c r="C20">
        <v>46</v>
      </c>
      <c r="D20" s="1">
        <v>46341</v>
      </c>
    </row>
    <row r="21" spans="1:4" x14ac:dyDescent="0.25">
      <c r="A21">
        <v>21</v>
      </c>
      <c r="B21" t="s">
        <v>22</v>
      </c>
      <c r="C21">
        <v>54</v>
      </c>
      <c r="D21" s="1">
        <v>46342</v>
      </c>
    </row>
    <row r="22" spans="1:4" x14ac:dyDescent="0.25">
      <c r="A22">
        <v>22</v>
      </c>
      <c r="B22" t="s">
        <v>22</v>
      </c>
      <c r="C22">
        <v>4</v>
      </c>
      <c r="D22" s="1">
        <v>46343</v>
      </c>
    </row>
    <row r="23" spans="1:4" x14ac:dyDescent="0.25">
      <c r="A23">
        <v>23</v>
      </c>
      <c r="B23" t="s">
        <v>22</v>
      </c>
      <c r="C23">
        <v>51</v>
      </c>
      <c r="D23" s="1">
        <v>46344</v>
      </c>
    </row>
    <row r="24" spans="1:4" x14ac:dyDescent="0.25">
      <c r="A24">
        <v>24</v>
      </c>
      <c r="B24" t="s">
        <v>22</v>
      </c>
      <c r="C24">
        <v>36</v>
      </c>
      <c r="D24" s="1">
        <v>46345</v>
      </c>
    </row>
    <row r="25" spans="1:4" x14ac:dyDescent="0.25">
      <c r="A25">
        <v>25</v>
      </c>
      <c r="B25" t="s">
        <v>22</v>
      </c>
      <c r="C25">
        <v>5</v>
      </c>
      <c r="D25" s="1">
        <v>46346</v>
      </c>
    </row>
    <row r="26" spans="1:4" x14ac:dyDescent="0.25">
      <c r="A26">
        <v>26</v>
      </c>
      <c r="B26" t="s">
        <v>22</v>
      </c>
      <c r="C26">
        <v>76</v>
      </c>
      <c r="D26" s="1">
        <v>46347</v>
      </c>
    </row>
    <row r="27" spans="1:4" x14ac:dyDescent="0.25">
      <c r="A27">
        <v>27</v>
      </c>
      <c r="B27" t="s">
        <v>22</v>
      </c>
      <c r="C27">
        <v>30</v>
      </c>
      <c r="D27" s="1">
        <v>46348</v>
      </c>
    </row>
    <row r="28" spans="1:4" x14ac:dyDescent="0.25">
      <c r="A28">
        <v>28</v>
      </c>
      <c r="B28" t="s">
        <v>22</v>
      </c>
      <c r="C28">
        <v>92</v>
      </c>
      <c r="D28" s="1">
        <v>46349</v>
      </c>
    </row>
    <row r="29" spans="1:4" x14ac:dyDescent="0.25">
      <c r="A29">
        <v>29</v>
      </c>
      <c r="B29" t="s">
        <v>22</v>
      </c>
      <c r="C29">
        <v>90</v>
      </c>
      <c r="D29" s="1">
        <v>46350</v>
      </c>
    </row>
    <row r="30" spans="1:4" x14ac:dyDescent="0.25">
      <c r="A30">
        <v>30</v>
      </c>
      <c r="B30" t="s">
        <v>22</v>
      </c>
      <c r="C30">
        <v>37</v>
      </c>
      <c r="D30" s="1">
        <v>46351</v>
      </c>
    </row>
    <row r="31" spans="1:4" x14ac:dyDescent="0.25">
      <c r="A31">
        <v>31</v>
      </c>
      <c r="B31" t="s">
        <v>24</v>
      </c>
      <c r="C31">
        <v>36</v>
      </c>
      <c r="D31" s="1">
        <v>46352</v>
      </c>
    </row>
    <row r="32" spans="1:4" x14ac:dyDescent="0.25">
      <c r="A32">
        <v>32</v>
      </c>
      <c r="B32" t="s">
        <v>24</v>
      </c>
      <c r="C32">
        <v>85</v>
      </c>
      <c r="D32" s="1">
        <v>46353</v>
      </c>
    </row>
    <row r="33" spans="1:4" x14ac:dyDescent="0.25">
      <c r="A33">
        <v>33</v>
      </c>
      <c r="B33" t="s">
        <v>24</v>
      </c>
      <c r="C33">
        <v>69</v>
      </c>
      <c r="D33" s="1">
        <v>46354</v>
      </c>
    </row>
    <row r="34" spans="1:4" x14ac:dyDescent="0.25">
      <c r="A34">
        <v>34</v>
      </c>
      <c r="B34" t="s">
        <v>24</v>
      </c>
      <c r="C34">
        <v>76</v>
      </c>
      <c r="D34" s="1">
        <v>46355</v>
      </c>
    </row>
    <row r="35" spans="1:4" x14ac:dyDescent="0.25">
      <c r="A35">
        <v>35</v>
      </c>
      <c r="B35" t="s">
        <v>24</v>
      </c>
      <c r="C35">
        <v>59</v>
      </c>
      <c r="D35" s="1">
        <v>46356</v>
      </c>
    </row>
    <row r="36" spans="1:4" x14ac:dyDescent="0.25">
      <c r="A36">
        <v>36</v>
      </c>
      <c r="B36" t="s">
        <v>24</v>
      </c>
      <c r="C36">
        <v>3</v>
      </c>
      <c r="D36" s="1">
        <v>46357</v>
      </c>
    </row>
    <row r="37" spans="1:4" x14ac:dyDescent="0.25">
      <c r="A37">
        <v>37</v>
      </c>
      <c r="B37" t="s">
        <v>24</v>
      </c>
      <c r="C37">
        <v>32</v>
      </c>
      <c r="D37" s="1">
        <v>46358</v>
      </c>
    </row>
    <row r="38" spans="1:4" x14ac:dyDescent="0.25">
      <c r="A38">
        <v>38</v>
      </c>
      <c r="B38" t="s">
        <v>24</v>
      </c>
      <c r="C38">
        <v>94</v>
      </c>
      <c r="D38" s="1">
        <v>46359</v>
      </c>
    </row>
    <row r="39" spans="1:4" x14ac:dyDescent="0.25">
      <c r="A39">
        <v>39</v>
      </c>
      <c r="B39" t="s">
        <v>24</v>
      </c>
      <c r="C39">
        <v>23</v>
      </c>
      <c r="D39" s="1">
        <v>46360</v>
      </c>
    </row>
    <row r="40" spans="1:4" x14ac:dyDescent="0.25">
      <c r="A40">
        <v>40</v>
      </c>
      <c r="B40" t="s">
        <v>24</v>
      </c>
      <c r="C40">
        <v>50</v>
      </c>
      <c r="D40" s="1">
        <v>46361</v>
      </c>
    </row>
    <row r="41" spans="1:4" x14ac:dyDescent="0.25">
      <c r="A41">
        <v>41</v>
      </c>
      <c r="B41" t="s">
        <v>26</v>
      </c>
      <c r="C41">
        <v>7</v>
      </c>
      <c r="D41" s="1">
        <v>46362</v>
      </c>
    </row>
    <row r="42" spans="1:4" x14ac:dyDescent="0.25">
      <c r="A42">
        <v>42</v>
      </c>
      <c r="B42" t="s">
        <v>26</v>
      </c>
      <c r="C42">
        <v>30</v>
      </c>
      <c r="D42" s="1">
        <v>46363</v>
      </c>
    </row>
    <row r="43" spans="1:4" x14ac:dyDescent="0.25">
      <c r="A43">
        <v>43</v>
      </c>
      <c r="B43" t="s">
        <v>26</v>
      </c>
      <c r="C43">
        <v>89</v>
      </c>
      <c r="D43" s="1">
        <v>46364</v>
      </c>
    </row>
    <row r="44" spans="1:4" x14ac:dyDescent="0.25">
      <c r="A44">
        <v>44</v>
      </c>
      <c r="B44" t="s">
        <v>26</v>
      </c>
      <c r="C44">
        <v>45</v>
      </c>
      <c r="D44" s="1">
        <v>46365</v>
      </c>
    </row>
    <row r="45" spans="1:4" x14ac:dyDescent="0.25">
      <c r="A45">
        <v>45</v>
      </c>
      <c r="B45" t="s">
        <v>26</v>
      </c>
      <c r="C45">
        <v>54</v>
      </c>
      <c r="D45" s="1">
        <v>46366</v>
      </c>
    </row>
    <row r="46" spans="1:4" x14ac:dyDescent="0.25">
      <c r="A46">
        <v>46</v>
      </c>
      <c r="B46" t="s">
        <v>26</v>
      </c>
      <c r="C46">
        <v>17</v>
      </c>
      <c r="D46" s="1">
        <v>46367</v>
      </c>
    </row>
    <row r="47" spans="1:4" x14ac:dyDescent="0.25">
      <c r="A47">
        <v>47</v>
      </c>
      <c r="B47" t="s">
        <v>26</v>
      </c>
      <c r="C47">
        <v>82</v>
      </c>
      <c r="D47" s="1">
        <v>46368</v>
      </c>
    </row>
    <row r="48" spans="1:4" x14ac:dyDescent="0.25">
      <c r="A48">
        <v>48</v>
      </c>
      <c r="B48" t="s">
        <v>26</v>
      </c>
      <c r="C48">
        <v>19</v>
      </c>
      <c r="D48" s="1">
        <v>46369</v>
      </c>
    </row>
    <row r="49" spans="1:4" x14ac:dyDescent="0.25">
      <c r="A49">
        <v>49</v>
      </c>
      <c r="B49" t="s">
        <v>26</v>
      </c>
      <c r="C49">
        <v>52</v>
      </c>
      <c r="D49" s="1">
        <v>46370</v>
      </c>
    </row>
    <row r="50" spans="1:4" x14ac:dyDescent="0.25">
      <c r="A50">
        <v>50</v>
      </c>
      <c r="B50" t="s">
        <v>26</v>
      </c>
      <c r="C50">
        <v>45</v>
      </c>
      <c r="D50" s="1">
        <v>46371</v>
      </c>
    </row>
    <row r="51" spans="1:4" x14ac:dyDescent="0.25">
      <c r="A51">
        <v>51</v>
      </c>
      <c r="B51" t="s">
        <v>28</v>
      </c>
      <c r="C51">
        <v>74</v>
      </c>
      <c r="D51" s="1">
        <v>46372</v>
      </c>
    </row>
    <row r="52" spans="1:4" x14ac:dyDescent="0.25">
      <c r="A52">
        <v>52</v>
      </c>
      <c r="B52" t="s">
        <v>28</v>
      </c>
      <c r="C52">
        <v>59</v>
      </c>
      <c r="D52" s="1">
        <v>46373</v>
      </c>
    </row>
    <row r="53" spans="1:4" x14ac:dyDescent="0.25">
      <c r="A53">
        <v>53</v>
      </c>
      <c r="B53" t="s">
        <v>28</v>
      </c>
      <c r="C53">
        <v>56</v>
      </c>
      <c r="D53" s="1">
        <v>46374</v>
      </c>
    </row>
    <row r="54" spans="1:4" x14ac:dyDescent="0.25">
      <c r="A54">
        <v>54</v>
      </c>
      <c r="B54" t="s">
        <v>28</v>
      </c>
      <c r="C54">
        <v>54</v>
      </c>
      <c r="D54" s="1">
        <v>46375</v>
      </c>
    </row>
    <row r="55" spans="1:4" x14ac:dyDescent="0.25">
      <c r="A55">
        <v>55</v>
      </c>
      <c r="B55" t="s">
        <v>28</v>
      </c>
      <c r="C55">
        <v>9</v>
      </c>
      <c r="D55" s="1">
        <v>46376</v>
      </c>
    </row>
    <row r="56" spans="1:4" x14ac:dyDescent="0.25">
      <c r="A56">
        <v>56</v>
      </c>
      <c r="B56" t="s">
        <v>28</v>
      </c>
      <c r="C56">
        <v>3</v>
      </c>
      <c r="D56" s="1">
        <v>46377</v>
      </c>
    </row>
    <row r="57" spans="1:4" x14ac:dyDescent="0.25">
      <c r="A57">
        <v>57</v>
      </c>
      <c r="B57" t="s">
        <v>28</v>
      </c>
      <c r="C57">
        <v>5</v>
      </c>
      <c r="D57" s="1">
        <v>46378</v>
      </c>
    </row>
    <row r="58" spans="1:4" x14ac:dyDescent="0.25">
      <c r="A58">
        <v>58</v>
      </c>
      <c r="B58" t="s">
        <v>28</v>
      </c>
      <c r="C58">
        <v>21</v>
      </c>
      <c r="D58" s="1">
        <v>46379</v>
      </c>
    </row>
    <row r="59" spans="1:4" x14ac:dyDescent="0.25">
      <c r="A59">
        <v>59</v>
      </c>
      <c r="B59" t="s">
        <v>28</v>
      </c>
      <c r="C59">
        <v>14</v>
      </c>
      <c r="D59" s="1">
        <v>46380</v>
      </c>
    </row>
    <row r="60" spans="1:4" x14ac:dyDescent="0.25">
      <c r="A60">
        <v>60</v>
      </c>
      <c r="B60" t="s">
        <v>28</v>
      </c>
      <c r="C60">
        <v>18</v>
      </c>
      <c r="D60" s="1">
        <v>46381</v>
      </c>
    </row>
    <row r="61" spans="1:4" x14ac:dyDescent="0.25">
      <c r="A61">
        <v>61</v>
      </c>
      <c r="B61" t="s">
        <v>30</v>
      </c>
      <c r="C61">
        <v>65</v>
      </c>
      <c r="D61" s="1">
        <v>46382</v>
      </c>
    </row>
    <row r="62" spans="1:4" x14ac:dyDescent="0.25">
      <c r="A62">
        <v>62</v>
      </c>
      <c r="B62" t="s">
        <v>30</v>
      </c>
      <c r="C62">
        <v>75</v>
      </c>
      <c r="D62" s="1">
        <v>46383</v>
      </c>
    </row>
    <row r="63" spans="1:4" x14ac:dyDescent="0.25">
      <c r="A63">
        <v>63</v>
      </c>
      <c r="B63" t="s">
        <v>30</v>
      </c>
      <c r="C63">
        <v>67</v>
      </c>
      <c r="D63" s="1">
        <v>46384</v>
      </c>
    </row>
    <row r="64" spans="1:4" x14ac:dyDescent="0.25">
      <c r="A64">
        <v>64</v>
      </c>
      <c r="B64" t="s">
        <v>30</v>
      </c>
      <c r="C64">
        <v>75</v>
      </c>
      <c r="D64" s="1">
        <v>46385</v>
      </c>
    </row>
    <row r="65" spans="1:4" x14ac:dyDescent="0.25">
      <c r="A65">
        <v>65</v>
      </c>
      <c r="B65" t="s">
        <v>30</v>
      </c>
      <c r="C65">
        <v>16</v>
      </c>
      <c r="D65" s="1">
        <v>46386</v>
      </c>
    </row>
    <row r="66" spans="1:4" x14ac:dyDescent="0.25">
      <c r="A66">
        <v>66</v>
      </c>
      <c r="B66" t="s">
        <v>30</v>
      </c>
      <c r="C66">
        <v>90</v>
      </c>
      <c r="D66" s="1">
        <v>46387</v>
      </c>
    </row>
    <row r="67" spans="1:4" x14ac:dyDescent="0.25">
      <c r="A67">
        <v>67</v>
      </c>
      <c r="B67" t="s">
        <v>30</v>
      </c>
      <c r="C67">
        <v>60</v>
      </c>
      <c r="D67" s="1">
        <v>46388</v>
      </c>
    </row>
    <row r="68" spans="1:4" x14ac:dyDescent="0.25">
      <c r="A68">
        <v>68</v>
      </c>
      <c r="B68" t="s">
        <v>30</v>
      </c>
      <c r="C68">
        <v>45</v>
      </c>
      <c r="D68" s="1">
        <v>46389</v>
      </c>
    </row>
    <row r="69" spans="1:4" x14ac:dyDescent="0.25">
      <c r="A69">
        <v>69</v>
      </c>
      <c r="B69" t="s">
        <v>30</v>
      </c>
      <c r="C69">
        <v>10</v>
      </c>
      <c r="D69" s="1">
        <v>46390</v>
      </c>
    </row>
    <row r="70" spans="1:4" x14ac:dyDescent="0.25">
      <c r="A70">
        <v>70</v>
      </c>
      <c r="B70" t="s">
        <v>30</v>
      </c>
      <c r="C70">
        <v>21</v>
      </c>
      <c r="D70" s="1">
        <v>46391</v>
      </c>
    </row>
    <row r="71" spans="1:4" x14ac:dyDescent="0.25">
      <c r="A71">
        <v>71</v>
      </c>
      <c r="B71" t="s">
        <v>32</v>
      </c>
      <c r="C71">
        <v>44</v>
      </c>
      <c r="D71" s="1">
        <v>46392</v>
      </c>
    </row>
    <row r="72" spans="1:4" x14ac:dyDescent="0.25">
      <c r="A72">
        <v>72</v>
      </c>
      <c r="B72" t="s">
        <v>32</v>
      </c>
      <c r="C72">
        <v>45</v>
      </c>
      <c r="D72" s="1">
        <v>46393</v>
      </c>
    </row>
    <row r="73" spans="1:4" x14ac:dyDescent="0.25">
      <c r="A73">
        <v>73</v>
      </c>
      <c r="B73" t="s">
        <v>32</v>
      </c>
      <c r="C73">
        <v>64</v>
      </c>
      <c r="D73" s="1">
        <v>46394</v>
      </c>
    </row>
    <row r="74" spans="1:4" x14ac:dyDescent="0.25">
      <c r="A74">
        <v>74</v>
      </c>
      <c r="B74" t="s">
        <v>32</v>
      </c>
      <c r="C74">
        <v>85</v>
      </c>
      <c r="D74" s="1">
        <v>46395</v>
      </c>
    </row>
    <row r="75" spans="1:4" x14ac:dyDescent="0.25">
      <c r="A75">
        <v>75</v>
      </c>
      <c r="B75" t="s">
        <v>32</v>
      </c>
      <c r="C75">
        <v>95</v>
      </c>
      <c r="D75" s="1">
        <v>46396</v>
      </c>
    </row>
    <row r="76" spans="1:4" x14ac:dyDescent="0.25">
      <c r="A76">
        <v>76</v>
      </c>
      <c r="B76" t="s">
        <v>32</v>
      </c>
      <c r="C76">
        <v>46</v>
      </c>
      <c r="D76" s="1">
        <v>46397</v>
      </c>
    </row>
    <row r="77" spans="1:4" x14ac:dyDescent="0.25">
      <c r="A77">
        <v>77</v>
      </c>
      <c r="B77" t="s">
        <v>32</v>
      </c>
      <c r="C77">
        <v>91</v>
      </c>
      <c r="D77" s="1">
        <v>46398</v>
      </c>
    </row>
    <row r="78" spans="1:4" x14ac:dyDescent="0.25">
      <c r="A78">
        <v>78</v>
      </c>
      <c r="B78" t="s">
        <v>32</v>
      </c>
      <c r="C78">
        <v>98</v>
      </c>
      <c r="D78" s="1">
        <v>46399</v>
      </c>
    </row>
    <row r="79" spans="1:4" x14ac:dyDescent="0.25">
      <c r="A79">
        <v>79</v>
      </c>
      <c r="B79" t="s">
        <v>32</v>
      </c>
      <c r="C79">
        <v>70</v>
      </c>
      <c r="D79" s="1">
        <v>46400</v>
      </c>
    </row>
    <row r="80" spans="1:4" x14ac:dyDescent="0.25">
      <c r="A80">
        <v>80</v>
      </c>
      <c r="B80" t="s">
        <v>32</v>
      </c>
      <c r="C80">
        <v>70</v>
      </c>
      <c r="D80" s="1">
        <v>46401</v>
      </c>
    </row>
    <row r="81" spans="1:4" x14ac:dyDescent="0.25">
      <c r="A81">
        <v>81</v>
      </c>
      <c r="B81" t="s">
        <v>34</v>
      </c>
      <c r="C81">
        <v>24</v>
      </c>
      <c r="D81" s="1">
        <v>46402</v>
      </c>
    </row>
    <row r="82" spans="1:4" x14ac:dyDescent="0.25">
      <c r="A82">
        <v>82</v>
      </c>
      <c r="B82" t="s">
        <v>34</v>
      </c>
      <c r="C82">
        <v>50</v>
      </c>
      <c r="D82" s="1">
        <v>46403</v>
      </c>
    </row>
    <row r="83" spans="1:4" x14ac:dyDescent="0.25">
      <c r="A83">
        <v>83</v>
      </c>
      <c r="B83" t="s">
        <v>34</v>
      </c>
      <c r="C83">
        <v>9</v>
      </c>
      <c r="D83" s="1">
        <v>46404</v>
      </c>
    </row>
    <row r="84" spans="1:4" x14ac:dyDescent="0.25">
      <c r="A84">
        <v>84</v>
      </c>
      <c r="B84" t="s">
        <v>34</v>
      </c>
      <c r="C84">
        <v>98</v>
      </c>
      <c r="D84" s="1">
        <v>46405</v>
      </c>
    </row>
    <row r="85" spans="1:4" x14ac:dyDescent="0.25">
      <c r="A85">
        <v>85</v>
      </c>
      <c r="B85" t="s">
        <v>34</v>
      </c>
      <c r="C85">
        <v>49</v>
      </c>
      <c r="D85" s="1">
        <v>46406</v>
      </c>
    </row>
    <row r="86" spans="1:4" x14ac:dyDescent="0.25">
      <c r="A86">
        <v>86</v>
      </c>
      <c r="B86" t="s">
        <v>34</v>
      </c>
      <c r="C86">
        <v>7</v>
      </c>
      <c r="D86" s="1">
        <v>46407</v>
      </c>
    </row>
    <row r="87" spans="1:4" x14ac:dyDescent="0.25">
      <c r="A87">
        <v>87</v>
      </c>
      <c r="B87" t="s">
        <v>34</v>
      </c>
      <c r="C87">
        <v>39</v>
      </c>
      <c r="D87" s="1">
        <v>46408</v>
      </c>
    </row>
    <row r="88" spans="1:4" x14ac:dyDescent="0.25">
      <c r="A88">
        <v>88</v>
      </c>
      <c r="B88" t="s">
        <v>34</v>
      </c>
      <c r="C88">
        <v>9</v>
      </c>
      <c r="D88" s="1">
        <v>46409</v>
      </c>
    </row>
    <row r="89" spans="1:4" x14ac:dyDescent="0.25">
      <c r="A89">
        <v>89</v>
      </c>
      <c r="B89" t="s">
        <v>34</v>
      </c>
      <c r="C89">
        <v>11</v>
      </c>
      <c r="D89" s="1">
        <v>46410</v>
      </c>
    </row>
    <row r="90" spans="1:4" x14ac:dyDescent="0.25">
      <c r="A90">
        <v>90</v>
      </c>
      <c r="B90" t="s">
        <v>34</v>
      </c>
      <c r="C90">
        <v>81</v>
      </c>
      <c r="D90" s="1">
        <v>46411</v>
      </c>
    </row>
    <row r="91" spans="1:4" x14ac:dyDescent="0.25">
      <c r="A91">
        <v>91</v>
      </c>
      <c r="B91" t="s">
        <v>36</v>
      </c>
      <c r="C91">
        <v>56</v>
      </c>
      <c r="D91" s="1">
        <v>46412</v>
      </c>
    </row>
    <row r="92" spans="1:4" x14ac:dyDescent="0.25">
      <c r="A92">
        <v>92</v>
      </c>
      <c r="B92" t="s">
        <v>36</v>
      </c>
      <c r="C92">
        <v>67</v>
      </c>
      <c r="D92" s="1">
        <v>46413</v>
      </c>
    </row>
    <row r="93" spans="1:4" x14ac:dyDescent="0.25">
      <c r="A93">
        <v>93</v>
      </c>
      <c r="B93" t="s">
        <v>36</v>
      </c>
      <c r="C93">
        <v>92</v>
      </c>
      <c r="D93" s="1">
        <v>46414</v>
      </c>
    </row>
    <row r="94" spans="1:4" x14ac:dyDescent="0.25">
      <c r="A94">
        <v>94</v>
      </c>
      <c r="B94" t="s">
        <v>36</v>
      </c>
      <c r="C94">
        <v>97</v>
      </c>
      <c r="D94" s="1">
        <v>46415</v>
      </c>
    </row>
    <row r="95" spans="1:4" x14ac:dyDescent="0.25">
      <c r="A95">
        <v>95</v>
      </c>
      <c r="B95" t="s">
        <v>36</v>
      </c>
      <c r="C95">
        <v>14</v>
      </c>
      <c r="D95" s="1">
        <v>46416</v>
      </c>
    </row>
    <row r="96" spans="1:4" x14ac:dyDescent="0.25">
      <c r="A96">
        <v>96</v>
      </c>
      <c r="B96" t="s">
        <v>36</v>
      </c>
      <c r="C96">
        <v>98</v>
      </c>
      <c r="D96" s="1">
        <v>46417</v>
      </c>
    </row>
    <row r="97" spans="1:4" x14ac:dyDescent="0.25">
      <c r="A97">
        <v>97</v>
      </c>
      <c r="B97" t="s">
        <v>36</v>
      </c>
      <c r="C97">
        <v>23</v>
      </c>
      <c r="D97" s="1">
        <v>46418</v>
      </c>
    </row>
    <row r="98" spans="1:4" x14ac:dyDescent="0.25">
      <c r="A98">
        <v>98</v>
      </c>
      <c r="B98" t="s">
        <v>36</v>
      </c>
      <c r="C98">
        <v>23</v>
      </c>
      <c r="D98" s="1">
        <v>46419</v>
      </c>
    </row>
    <row r="99" spans="1:4" x14ac:dyDescent="0.25">
      <c r="A99">
        <v>99</v>
      </c>
      <c r="B99" t="s">
        <v>36</v>
      </c>
      <c r="C99">
        <v>10</v>
      </c>
      <c r="D99" s="1">
        <v>46420</v>
      </c>
    </row>
    <row r="100" spans="1:4" x14ac:dyDescent="0.25">
      <c r="A100">
        <v>100</v>
      </c>
      <c r="B100" t="s">
        <v>36</v>
      </c>
      <c r="C100">
        <v>56</v>
      </c>
      <c r="D100" s="1">
        <v>46421</v>
      </c>
    </row>
    <row r="101" spans="1:4" x14ac:dyDescent="0.25">
      <c r="A101" t="s">
        <v>41</v>
      </c>
      <c r="B101">
        <f>SUBTOTAL(103,Tabela1[Filial])</f>
        <v>99</v>
      </c>
      <c r="C101">
        <f>SUBTOTAL(109,Tabela1[Venda])</f>
        <v>5010</v>
      </c>
    </row>
  </sheetData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B1">
    <tabColor rgb="FFE26B0A"/>
    <pageSetUpPr fitToPage="1"/>
  </sheetPr>
  <dimension ref="A1:K2"/>
  <sheetViews>
    <sheetView workbookViewId="0"/>
  </sheetViews>
  <sheetFormatPr defaultRowHeight="15" x14ac:dyDescent="0.25"/>
  <cols>
    <col min="1" max="1" width="6.7109375" bestFit="1" customWidth="1"/>
    <col min="2" max="2" width="18.7109375" bestFit="1" customWidth="1"/>
    <col min="3" max="3" width="60.7109375" bestFit="1" customWidth="1"/>
    <col min="4" max="4" width="5.5703125" bestFit="1" customWidth="1"/>
    <col min="5" max="5" width="9.140625" bestFit="1" customWidth="1"/>
    <col min="6" max="6" width="15.140625" bestFit="1" customWidth="1"/>
    <col min="7" max="7" width="12.7109375" bestFit="1" customWidth="1"/>
    <col min="8" max="8" width="17.5703125" bestFit="1" customWidth="1"/>
    <col min="9" max="9" width="13.85546875" bestFit="1" customWidth="1"/>
    <col min="10" max="10" width="15.140625" bestFit="1" customWidth="1"/>
    <col min="11" max="11" width="10.7109375" bestFit="1" customWidth="1"/>
  </cols>
  <sheetData>
    <row r="1" spans="1:11" x14ac:dyDescent="0.25">
      <c r="A1" t="s">
        <v>42</v>
      </c>
    </row>
    <row r="2" spans="1:11" x14ac:dyDescent="0.25">
      <c r="A2" s="17" t="s">
        <v>43</v>
      </c>
      <c r="B2" s="17" t="s">
        <v>44</v>
      </c>
      <c r="C2" s="17" t="s">
        <v>45</v>
      </c>
      <c r="D2" s="17" t="s">
        <v>46</v>
      </c>
      <c r="E2" s="17" t="s">
        <v>47</v>
      </c>
      <c r="F2" s="17" t="s">
        <v>48</v>
      </c>
      <c r="G2" s="17" t="s">
        <v>49</v>
      </c>
      <c r="H2" s="17" t="s">
        <v>50</v>
      </c>
      <c r="I2" s="17" t="s">
        <v>51</v>
      </c>
      <c r="J2" s="17" t="s">
        <v>52</v>
      </c>
      <c r="K2" s="17" t="s">
        <v>53</v>
      </c>
    </row>
  </sheetData>
  <autoFilter ref="A2:K2" xr:uid="{00000000-0009-0000-0000-000003000000}"/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1">
    <tabColor rgb="FF1F497D"/>
    <pageSetUpPr fitToPage="1"/>
  </sheetPr>
  <dimension ref="A1:K3"/>
  <sheetViews>
    <sheetView workbookViewId="0"/>
  </sheetViews>
  <sheetFormatPr defaultRowHeight="15" x14ac:dyDescent="0.25"/>
  <cols>
    <col min="1" max="1" width="17.5703125" bestFit="1" customWidth="1"/>
    <col min="2" max="2" width="10.7109375" bestFit="1" customWidth="1"/>
    <col min="3" max="3" width="5.5703125" bestFit="1" customWidth="1"/>
    <col min="4" max="4" width="15.140625" bestFit="1" customWidth="1"/>
    <col min="5" max="5" width="60.7109375" bestFit="1" customWidth="1"/>
    <col min="6" max="6" width="10.28515625" bestFit="1" customWidth="1"/>
    <col min="7" max="7" width="17.5703125" bestFit="1" customWidth="1"/>
    <col min="8" max="9" width="19.85546875" bestFit="1" customWidth="1"/>
    <col min="10" max="10" width="13.85546875" bestFit="1" customWidth="1"/>
    <col min="11" max="11" width="18.7109375" bestFit="1" customWidth="1"/>
  </cols>
  <sheetData>
    <row r="1" spans="1:11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s="29" t="s">
        <v>59</v>
      </c>
      <c r="G1" s="29" t="s">
        <v>60</v>
      </c>
      <c r="H1" s="8" t="s">
        <v>61</v>
      </c>
      <c r="I1" s="29" t="s">
        <v>62</v>
      </c>
      <c r="J1" t="s">
        <v>63</v>
      </c>
      <c r="K1" t="s">
        <v>64</v>
      </c>
    </row>
    <row r="3" spans="1:11" x14ac:dyDescent="0.25">
      <c r="A3">
        <f>SUBTOTAL(103,Tabela2[CNPJ/CPF])</f>
        <v>0</v>
      </c>
    </row>
  </sheetData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rmatCondAvancada">
    <pageSetUpPr fitToPage="1"/>
  </sheetPr>
  <dimension ref="A1:G9"/>
  <sheetViews>
    <sheetView workbookViewId="0">
      <selection activeCell="G2" sqref="G2"/>
    </sheetView>
  </sheetViews>
  <sheetFormatPr defaultRowHeight="15" x14ac:dyDescent="0.25"/>
  <cols>
    <col min="1" max="1" width="12.7109375" bestFit="1"/>
    <col min="7" max="7" width="12.140625" bestFit="1" customWidth="1"/>
  </cols>
  <sheetData>
    <row r="1" spans="1:7" x14ac:dyDescent="0.25">
      <c r="A1" t="s">
        <v>65</v>
      </c>
      <c r="B1" t="s">
        <v>66</v>
      </c>
      <c r="C1" t="s">
        <v>67</v>
      </c>
      <c r="E1" t="s">
        <v>58</v>
      </c>
      <c r="G1" t="s">
        <v>68</v>
      </c>
    </row>
    <row r="2" spans="1:7" x14ac:dyDescent="0.25">
      <c r="A2">
        <v>12</v>
      </c>
      <c r="B2">
        <v>12</v>
      </c>
      <c r="C2">
        <v>12</v>
      </c>
      <c r="E2" t="s">
        <v>69</v>
      </c>
      <c r="G2" s="1">
        <v>46321</v>
      </c>
    </row>
    <row r="3" spans="1:7" x14ac:dyDescent="0.25">
      <c r="A3">
        <v>24</v>
      </c>
      <c r="B3">
        <v>24</v>
      </c>
      <c r="C3">
        <v>24</v>
      </c>
      <c r="E3" t="s">
        <v>70</v>
      </c>
      <c r="G3" s="1">
        <v>46318</v>
      </c>
    </row>
    <row r="4" spans="1:7" x14ac:dyDescent="0.25">
      <c r="A4">
        <v>36</v>
      </c>
      <c r="B4">
        <v>36</v>
      </c>
      <c r="C4">
        <v>36</v>
      </c>
      <c r="E4" t="s">
        <v>69</v>
      </c>
      <c r="G4" s="1">
        <v>46315</v>
      </c>
    </row>
    <row r="5" spans="1:7" x14ac:dyDescent="0.25">
      <c r="A5">
        <v>48</v>
      </c>
      <c r="B5">
        <v>48</v>
      </c>
      <c r="C5">
        <v>48</v>
      </c>
      <c r="E5" t="s">
        <v>71</v>
      </c>
      <c r="G5" s="1">
        <v>46312</v>
      </c>
    </row>
    <row r="6" spans="1:7" x14ac:dyDescent="0.25">
      <c r="A6">
        <v>60</v>
      </c>
      <c r="B6">
        <v>60</v>
      </c>
      <c r="C6">
        <v>60</v>
      </c>
      <c r="E6" t="s">
        <v>70</v>
      </c>
      <c r="G6" s="1">
        <v>46309</v>
      </c>
    </row>
    <row r="7" spans="1:7" x14ac:dyDescent="0.25">
      <c r="A7">
        <v>72</v>
      </c>
      <c r="B7">
        <v>72</v>
      </c>
      <c r="C7">
        <v>72</v>
      </c>
      <c r="E7" t="s">
        <v>72</v>
      </c>
      <c r="G7" s="1">
        <v>46306</v>
      </c>
    </row>
    <row r="8" spans="1:7" x14ac:dyDescent="0.25">
      <c r="A8">
        <v>84</v>
      </c>
      <c r="B8">
        <v>84</v>
      </c>
      <c r="C8">
        <v>84</v>
      </c>
    </row>
    <row r="9" spans="1:7" x14ac:dyDescent="0.25">
      <c r="A9">
        <v>96</v>
      </c>
      <c r="B9">
        <v>96</v>
      </c>
      <c r="C9">
        <v>96</v>
      </c>
    </row>
  </sheetData>
  <conditionalFormatting sqref="B2:B9">
    <cfRule type="dataBar" priority="1">
      <dataBar>
        <cfvo type="min"/>
        <cfvo type="max"/>
        <color rgb="FF638EC6"/>
      </dataBar>
    </cfRule>
  </conditionalFormatting>
  <conditionalFormatting sqref="C2:C9">
    <cfRule type="iconSet" priority="2">
      <iconSet>
        <cfvo type="percent" val="0"/>
        <cfvo type="percent" val="33"/>
        <cfvo type="percent" val="67"/>
      </iconSet>
    </cfRule>
  </conditionalFormatting>
  <conditionalFormatting sqref="E2:E7">
    <cfRule type="duplicateValues" dxfId="15" priority="3"/>
    <cfRule type="uniqueValues" dxfId="14" priority="4"/>
  </conditionalFormatting>
  <conditionalFormatting sqref="G2:G7">
    <cfRule type="timePeriod" dxfId="13" priority="5" timePeriod="today">
      <formula>FLOOR(G2,1)=TODAY()</formula>
    </cfRule>
    <cfRule type="timePeriod" dxfId="12" priority="6" timePeriod="thisWeek">
      <formula>AND(TODAY()-ROUNDDOWN(G2,0)&lt;=WEEKDAY(TODAY())-1,ROUNDDOWN(G2,0)-TODAY()&lt;=7-WEEKDAY(TODAY()))</formula>
    </cfRule>
  </conditionalFormatting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Dashboard">
    <tabColor rgb="FF38BDF8"/>
    <pageSetUpPr fitToPage="1"/>
  </sheetPr>
  <dimension ref="A1:Q45"/>
  <sheetViews>
    <sheetView showGridLines="0" workbookViewId="0"/>
  </sheetViews>
  <sheetFormatPr defaultRowHeight="15" x14ac:dyDescent="0.25"/>
  <cols>
    <col min="1" max="1" width="2.7109375" bestFit="1" customWidth="1"/>
    <col min="2" max="4" width="15.7109375" bestFit="1" customWidth="1"/>
    <col min="5" max="5" width="2.7109375" bestFit="1" customWidth="1"/>
    <col min="6" max="8" width="15.7109375" bestFit="1" customWidth="1"/>
    <col min="9" max="9" width="2.7109375" bestFit="1" customWidth="1"/>
    <col min="10" max="12" width="15.7109375" bestFit="1" customWidth="1"/>
    <col min="13" max="13" width="2.7109375" bestFit="1" customWidth="1"/>
    <col min="14" max="16" width="15.7109375" bestFit="1" customWidth="1"/>
    <col min="17" max="17" width="2.7109375" bestFit="1" customWidth="1"/>
  </cols>
  <sheetData>
    <row r="1" spans="1:17" ht="8.1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33.950000000000003" customHeight="1" x14ac:dyDescent="0.6">
      <c r="A2" s="30"/>
      <c r="B2" s="57" t="s">
        <v>73</v>
      </c>
      <c r="C2" s="57"/>
      <c r="D2" s="57"/>
      <c r="E2" s="57"/>
      <c r="F2" s="57"/>
      <c r="G2" s="57"/>
      <c r="H2" s="57"/>
      <c r="I2" s="30"/>
      <c r="J2" s="30"/>
      <c r="K2" s="30"/>
      <c r="L2" s="30"/>
      <c r="M2" s="30"/>
      <c r="N2" s="58" t="s">
        <v>74</v>
      </c>
      <c r="O2" s="58"/>
      <c r="P2" s="58"/>
      <c r="Q2" s="30"/>
    </row>
    <row r="3" spans="1:17" ht="18" customHeight="1" x14ac:dyDescent="0.25">
      <c r="A3" s="30"/>
      <c r="B3" s="59" t="s">
        <v>75</v>
      </c>
      <c r="C3" s="59"/>
      <c r="D3" s="59"/>
      <c r="E3" s="59"/>
      <c r="F3" s="59"/>
      <c r="G3" s="59"/>
      <c r="H3" s="59"/>
      <c r="I3" s="30"/>
      <c r="J3" s="30"/>
      <c r="K3" s="30"/>
      <c r="L3" s="30"/>
      <c r="M3" s="30"/>
      <c r="N3" s="30"/>
      <c r="O3" s="30"/>
      <c r="P3" s="30"/>
      <c r="Q3" s="30"/>
    </row>
    <row r="4" spans="1:17" ht="9.9499999999999993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ht="3.95" customHeight="1" x14ac:dyDescent="0.25">
      <c r="A5" s="30"/>
      <c r="B5" s="31"/>
      <c r="C5" s="31"/>
      <c r="D5" s="31"/>
      <c r="E5" s="30"/>
      <c r="F5" s="34"/>
      <c r="G5" s="34"/>
      <c r="H5" s="34"/>
      <c r="I5" s="30"/>
      <c r="J5" s="35"/>
      <c r="K5" s="35"/>
      <c r="L5" s="35"/>
      <c r="M5" s="30"/>
      <c r="N5" s="36"/>
      <c r="O5" s="36"/>
      <c r="P5" s="36"/>
      <c r="Q5" s="30"/>
    </row>
    <row r="6" spans="1:17" ht="21.95" customHeight="1" x14ac:dyDescent="0.25">
      <c r="A6" s="30"/>
      <c r="B6" s="60" t="s">
        <v>76</v>
      </c>
      <c r="C6" s="60"/>
      <c r="D6" s="60"/>
      <c r="E6" s="30"/>
      <c r="F6" s="60" t="s">
        <v>77</v>
      </c>
      <c r="G6" s="60"/>
      <c r="H6" s="60"/>
      <c r="I6" s="30"/>
      <c r="J6" s="60" t="s">
        <v>78</v>
      </c>
      <c r="K6" s="60"/>
      <c r="L6" s="60"/>
      <c r="M6" s="30"/>
      <c r="N6" s="60" t="s">
        <v>79</v>
      </c>
      <c r="O6" s="60"/>
      <c r="P6" s="60"/>
      <c r="Q6" s="30"/>
    </row>
    <row r="7" spans="1:17" ht="36" customHeight="1" x14ac:dyDescent="0.25">
      <c r="A7" s="30"/>
      <c r="B7" s="61">
        <f>C44</f>
        <v>18630000</v>
      </c>
      <c r="C7" s="61"/>
      <c r="D7" s="61"/>
      <c r="E7" s="30"/>
      <c r="F7" s="63">
        <f>F44</f>
        <v>11413</v>
      </c>
      <c r="G7" s="63"/>
      <c r="H7" s="63"/>
      <c r="I7" s="30"/>
      <c r="J7" s="64">
        <f>G44</f>
        <v>1632.3490756155261</v>
      </c>
      <c r="K7" s="64"/>
      <c r="L7" s="64"/>
      <c r="M7" s="30"/>
      <c r="N7" s="65">
        <f>H44</f>
        <v>1.037883008356546</v>
      </c>
      <c r="O7" s="65"/>
      <c r="P7" s="65"/>
      <c r="Q7" s="30"/>
    </row>
    <row r="8" spans="1:17" ht="20.100000000000001" customHeight="1" x14ac:dyDescent="0.25">
      <c r="A8" s="30"/>
      <c r="B8" s="32">
        <f>C43/C42-1</f>
        <v>6.5217391304347894E-2</v>
      </c>
      <c r="C8" s="62" t="s">
        <v>80</v>
      </c>
      <c r="D8" s="62"/>
      <c r="E8" s="30"/>
      <c r="F8" s="32">
        <f>F43/F42-1</f>
        <v>5.6261343012704135E-2</v>
      </c>
      <c r="G8" s="62" t="s">
        <v>80</v>
      </c>
      <c r="H8" s="62"/>
      <c r="I8" s="30"/>
      <c r="J8" s="32">
        <f>G43/G42-1</f>
        <v>8.4790079187211376E-3</v>
      </c>
      <c r="K8" s="62" t="s">
        <v>80</v>
      </c>
      <c r="L8" s="62"/>
      <c r="M8" s="30"/>
      <c r="N8" s="32">
        <f>H43-H42</f>
        <v>6.5359477124182774E-3</v>
      </c>
      <c r="O8" s="62" t="s">
        <v>80</v>
      </c>
      <c r="P8" s="62"/>
      <c r="Q8" s="30"/>
    </row>
    <row r="9" spans="1:17" ht="8.1" customHeight="1" x14ac:dyDescent="0.25">
      <c r="A9" s="30"/>
      <c r="B9" s="33"/>
      <c r="C9" s="33"/>
      <c r="D9" s="33"/>
      <c r="E9" s="30"/>
      <c r="F9" s="33"/>
      <c r="G9" s="33"/>
      <c r="H9" s="33"/>
      <c r="I9" s="30"/>
      <c r="J9" s="33"/>
      <c r="K9" s="33"/>
      <c r="L9" s="33"/>
      <c r="M9" s="30"/>
      <c r="N9" s="33"/>
      <c r="O9" s="33"/>
      <c r="P9" s="33"/>
      <c r="Q9" s="30"/>
    </row>
    <row r="10" spans="1:17" ht="14.1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x14ac:dyDescent="0.25">
      <c r="A11" s="30"/>
      <c r="B11" s="33"/>
      <c r="C11" s="33"/>
      <c r="D11" s="33"/>
      <c r="E11" s="33"/>
      <c r="F11" s="33"/>
      <c r="G11" s="33"/>
      <c r="H11" s="33"/>
      <c r="I11" s="30"/>
      <c r="J11" s="33"/>
      <c r="K11" s="33"/>
      <c r="L11" s="33"/>
      <c r="M11" s="33"/>
      <c r="N11" s="33"/>
      <c r="O11" s="33"/>
      <c r="P11" s="33"/>
      <c r="Q11" s="30"/>
    </row>
    <row r="12" spans="1:17" x14ac:dyDescent="0.25">
      <c r="A12" s="30"/>
      <c r="B12" s="33"/>
      <c r="C12" s="33"/>
      <c r="D12" s="33"/>
      <c r="E12" s="33"/>
      <c r="F12" s="33"/>
      <c r="G12" s="33"/>
      <c r="H12" s="33"/>
      <c r="I12" s="30"/>
      <c r="J12" s="33"/>
      <c r="K12" s="33"/>
      <c r="L12" s="33"/>
      <c r="M12" s="33"/>
      <c r="N12" s="33"/>
      <c r="O12" s="33"/>
      <c r="P12" s="33"/>
      <c r="Q12" s="30"/>
    </row>
    <row r="13" spans="1:17" x14ac:dyDescent="0.25">
      <c r="A13" s="30"/>
      <c r="B13" s="33"/>
      <c r="C13" s="33"/>
      <c r="D13" s="33"/>
      <c r="E13" s="33"/>
      <c r="F13" s="33"/>
      <c r="G13" s="33"/>
      <c r="H13" s="33"/>
      <c r="I13" s="30"/>
      <c r="J13" s="33"/>
      <c r="K13" s="33"/>
      <c r="L13" s="33"/>
      <c r="M13" s="33"/>
      <c r="N13" s="33"/>
      <c r="O13" s="33"/>
      <c r="P13" s="33"/>
      <c r="Q13" s="30"/>
    </row>
    <row r="14" spans="1:17" x14ac:dyDescent="0.25">
      <c r="A14" s="30"/>
      <c r="B14" s="33"/>
      <c r="C14" s="33"/>
      <c r="D14" s="33"/>
      <c r="E14" s="33"/>
      <c r="F14" s="33"/>
      <c r="G14" s="33"/>
      <c r="H14" s="33"/>
      <c r="I14" s="30"/>
      <c r="J14" s="33"/>
      <c r="K14" s="33"/>
      <c r="L14" s="33"/>
      <c r="M14" s="33"/>
      <c r="N14" s="33"/>
      <c r="O14" s="33"/>
      <c r="P14" s="33"/>
      <c r="Q14" s="30"/>
    </row>
    <row r="15" spans="1:17" x14ac:dyDescent="0.25">
      <c r="A15" s="30"/>
      <c r="B15" s="33"/>
      <c r="C15" s="33"/>
      <c r="D15" s="33"/>
      <c r="E15" s="33"/>
      <c r="F15" s="33"/>
      <c r="G15" s="33"/>
      <c r="H15" s="33"/>
      <c r="I15" s="30"/>
      <c r="J15" s="33"/>
      <c r="K15" s="33"/>
      <c r="L15" s="33"/>
      <c r="M15" s="33"/>
      <c r="N15" s="33"/>
      <c r="O15" s="33"/>
      <c r="P15" s="33"/>
      <c r="Q15" s="30"/>
    </row>
    <row r="16" spans="1:17" x14ac:dyDescent="0.25">
      <c r="A16" s="30"/>
      <c r="B16" s="33"/>
      <c r="C16" s="33"/>
      <c r="D16" s="33"/>
      <c r="E16" s="33"/>
      <c r="F16" s="33"/>
      <c r="G16" s="33"/>
      <c r="H16" s="33"/>
      <c r="I16" s="30"/>
      <c r="J16" s="33"/>
      <c r="K16" s="33"/>
      <c r="L16" s="33"/>
      <c r="M16" s="33"/>
      <c r="N16" s="33"/>
      <c r="O16" s="33"/>
      <c r="P16" s="33"/>
      <c r="Q16" s="30"/>
    </row>
    <row r="17" spans="1:17" x14ac:dyDescent="0.25">
      <c r="A17" s="30"/>
      <c r="B17" s="33"/>
      <c r="C17" s="33"/>
      <c r="D17" s="33"/>
      <c r="E17" s="33"/>
      <c r="F17" s="33"/>
      <c r="G17" s="33"/>
      <c r="H17" s="33"/>
      <c r="I17" s="30"/>
      <c r="J17" s="33"/>
      <c r="K17" s="33"/>
      <c r="L17" s="33"/>
      <c r="M17" s="33"/>
      <c r="N17" s="33"/>
      <c r="O17" s="33"/>
      <c r="P17" s="33"/>
      <c r="Q17" s="30"/>
    </row>
    <row r="18" spans="1:17" x14ac:dyDescent="0.25">
      <c r="A18" s="30"/>
      <c r="B18" s="33"/>
      <c r="C18" s="33"/>
      <c r="D18" s="33"/>
      <c r="E18" s="33"/>
      <c r="F18" s="33"/>
      <c r="G18" s="33"/>
      <c r="H18" s="33"/>
      <c r="I18" s="30"/>
      <c r="J18" s="33"/>
      <c r="K18" s="33"/>
      <c r="L18" s="33"/>
      <c r="M18" s="33"/>
      <c r="N18" s="33"/>
      <c r="O18" s="33"/>
      <c r="P18" s="33"/>
      <c r="Q18" s="30"/>
    </row>
    <row r="19" spans="1:17" x14ac:dyDescent="0.25">
      <c r="A19" s="30"/>
      <c r="B19" s="33"/>
      <c r="C19" s="33"/>
      <c r="D19" s="33"/>
      <c r="E19" s="33"/>
      <c r="F19" s="33"/>
      <c r="G19" s="33"/>
      <c r="H19" s="33"/>
      <c r="I19" s="30"/>
      <c r="J19" s="33"/>
      <c r="K19" s="33"/>
      <c r="L19" s="33"/>
      <c r="M19" s="33"/>
      <c r="N19" s="33"/>
      <c r="O19" s="33"/>
      <c r="P19" s="33"/>
      <c r="Q19" s="30"/>
    </row>
    <row r="20" spans="1:17" x14ac:dyDescent="0.25">
      <c r="A20" s="30"/>
      <c r="B20" s="33"/>
      <c r="C20" s="33"/>
      <c r="D20" s="33"/>
      <c r="E20" s="33"/>
      <c r="F20" s="33"/>
      <c r="G20" s="33"/>
      <c r="H20" s="33"/>
      <c r="I20" s="30"/>
      <c r="J20" s="33"/>
      <c r="K20" s="33"/>
      <c r="L20" s="33"/>
      <c r="M20" s="33"/>
      <c r="N20" s="33"/>
      <c r="O20" s="33"/>
      <c r="P20" s="33"/>
      <c r="Q20" s="30"/>
    </row>
    <row r="21" spans="1:17" x14ac:dyDescent="0.25">
      <c r="A21" s="30"/>
      <c r="B21" s="33"/>
      <c r="C21" s="33"/>
      <c r="D21" s="33"/>
      <c r="E21" s="33"/>
      <c r="F21" s="33"/>
      <c r="G21" s="33"/>
      <c r="H21" s="33"/>
      <c r="I21" s="30"/>
      <c r="J21" s="33"/>
      <c r="K21" s="33"/>
      <c r="L21" s="33"/>
      <c r="M21" s="33"/>
      <c r="N21" s="33"/>
      <c r="O21" s="33"/>
      <c r="P21" s="33"/>
      <c r="Q21" s="30"/>
    </row>
    <row r="22" spans="1:17" x14ac:dyDescent="0.25">
      <c r="A22" s="30"/>
      <c r="B22" s="33"/>
      <c r="C22" s="33"/>
      <c r="D22" s="33"/>
      <c r="E22" s="33"/>
      <c r="F22" s="33"/>
      <c r="G22" s="33"/>
      <c r="H22" s="33"/>
      <c r="I22" s="30"/>
      <c r="J22" s="33"/>
      <c r="K22" s="33"/>
      <c r="L22" s="33"/>
      <c r="M22" s="33"/>
      <c r="N22" s="33"/>
      <c r="O22" s="33"/>
      <c r="P22" s="33"/>
      <c r="Q22" s="30"/>
    </row>
    <row r="23" spans="1:17" x14ac:dyDescent="0.25">
      <c r="A23" s="30"/>
      <c r="B23" s="33"/>
      <c r="C23" s="33"/>
      <c r="D23" s="33"/>
      <c r="E23" s="33"/>
      <c r="F23" s="33"/>
      <c r="G23" s="33"/>
      <c r="H23" s="33"/>
      <c r="I23" s="30"/>
      <c r="J23" s="33"/>
      <c r="K23" s="33"/>
      <c r="L23" s="33"/>
      <c r="M23" s="33"/>
      <c r="N23" s="33"/>
      <c r="O23" s="33"/>
      <c r="P23" s="33"/>
      <c r="Q23" s="30"/>
    </row>
    <row r="24" spans="1:17" x14ac:dyDescent="0.25">
      <c r="A24" s="30"/>
      <c r="B24" s="33"/>
      <c r="C24" s="33"/>
      <c r="D24" s="33"/>
      <c r="E24" s="33"/>
      <c r="F24" s="33"/>
      <c r="G24" s="33"/>
      <c r="H24" s="33"/>
      <c r="I24" s="30"/>
      <c r="J24" s="33"/>
      <c r="K24" s="33"/>
      <c r="L24" s="33"/>
      <c r="M24" s="33"/>
      <c r="N24" s="33"/>
      <c r="O24" s="33"/>
      <c r="P24" s="33"/>
      <c r="Q24" s="30"/>
    </row>
    <row r="25" spans="1:17" x14ac:dyDescent="0.25">
      <c r="A25" s="30"/>
      <c r="B25" s="33"/>
      <c r="C25" s="33"/>
      <c r="D25" s="33"/>
      <c r="E25" s="33"/>
      <c r="F25" s="33"/>
      <c r="G25" s="33"/>
      <c r="H25" s="33"/>
      <c r="I25" s="30"/>
      <c r="J25" s="33"/>
      <c r="K25" s="33"/>
      <c r="L25" s="33"/>
      <c r="M25" s="33"/>
      <c r="N25" s="33"/>
      <c r="O25" s="33"/>
      <c r="P25" s="33"/>
      <c r="Q25" s="30"/>
    </row>
    <row r="26" spans="1:17" x14ac:dyDescent="0.25">
      <c r="A26" s="30"/>
      <c r="B26" s="33"/>
      <c r="C26" s="33"/>
      <c r="D26" s="33"/>
      <c r="E26" s="33"/>
      <c r="F26" s="33"/>
      <c r="G26" s="33"/>
      <c r="H26" s="33"/>
      <c r="I26" s="30"/>
      <c r="J26" s="33"/>
      <c r="K26" s="33"/>
      <c r="L26" s="33"/>
      <c r="M26" s="33"/>
      <c r="N26" s="33"/>
      <c r="O26" s="33"/>
      <c r="P26" s="33"/>
      <c r="Q26" s="30"/>
    </row>
    <row r="27" spans="1:17" x14ac:dyDescent="0.25">
      <c r="A27" s="30"/>
      <c r="B27" s="33"/>
      <c r="C27" s="33"/>
      <c r="D27" s="33"/>
      <c r="E27" s="33"/>
      <c r="F27" s="33"/>
      <c r="G27" s="33"/>
      <c r="H27" s="33"/>
      <c r="I27" s="30"/>
      <c r="J27" s="33"/>
      <c r="K27" s="33"/>
      <c r="L27" s="33"/>
      <c r="M27" s="33"/>
      <c r="N27" s="33"/>
      <c r="O27" s="33"/>
      <c r="P27" s="33"/>
      <c r="Q27" s="30"/>
    </row>
    <row r="28" spans="1:17" x14ac:dyDescent="0.25">
      <c r="A28" s="30"/>
      <c r="B28" s="33"/>
      <c r="C28" s="33"/>
      <c r="D28" s="33"/>
      <c r="E28" s="33"/>
      <c r="F28" s="33"/>
      <c r="G28" s="33"/>
      <c r="H28" s="33"/>
      <c r="I28" s="30"/>
      <c r="J28" s="33"/>
      <c r="K28" s="33"/>
      <c r="L28" s="33"/>
      <c r="M28" s="33"/>
      <c r="N28" s="33"/>
      <c r="O28" s="33"/>
      <c r="P28" s="33"/>
      <c r="Q28" s="30"/>
    </row>
    <row r="29" spans="1:17" ht="14.1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1:17" ht="26.1" customHeight="1" x14ac:dyDescent="0.3">
      <c r="A30" s="30"/>
      <c r="B30" s="66" t="s">
        <v>81</v>
      </c>
      <c r="C30" s="66"/>
      <c r="D30" s="66"/>
      <c r="E30" s="66"/>
      <c r="F30" s="66"/>
      <c r="G30" s="66"/>
      <c r="H30" s="66"/>
      <c r="I30" s="30"/>
      <c r="J30" s="66" t="s">
        <v>82</v>
      </c>
      <c r="K30" s="66"/>
      <c r="L30" s="66"/>
      <c r="M30" s="66"/>
      <c r="N30" s="66"/>
      <c r="O30" s="66"/>
      <c r="P30" s="66"/>
      <c r="Q30" s="30"/>
    </row>
    <row r="31" spans="1:17" ht="21.95" customHeight="1" x14ac:dyDescent="0.25">
      <c r="A31" s="30"/>
      <c r="B31" s="37" t="s">
        <v>83</v>
      </c>
      <c r="C31" s="38" t="s">
        <v>84</v>
      </c>
      <c r="D31" s="38" t="s">
        <v>85</v>
      </c>
      <c r="E31" s="37"/>
      <c r="F31" s="38" t="s">
        <v>86</v>
      </c>
      <c r="G31" s="38" t="s">
        <v>87</v>
      </c>
      <c r="H31" s="38" t="s">
        <v>88</v>
      </c>
      <c r="I31" s="30"/>
      <c r="J31" s="37" t="s">
        <v>89</v>
      </c>
      <c r="K31" s="38" t="s">
        <v>84</v>
      </c>
      <c r="L31" s="38" t="s">
        <v>90</v>
      </c>
      <c r="M31" s="37"/>
      <c r="N31" s="38" t="s">
        <v>86</v>
      </c>
      <c r="O31" s="38" t="s">
        <v>91</v>
      </c>
      <c r="P31" s="37" t="s">
        <v>92</v>
      </c>
      <c r="Q31" s="30"/>
    </row>
    <row r="32" spans="1:17" ht="20.100000000000001" customHeight="1" x14ac:dyDescent="0.25">
      <c r="A32" s="30"/>
      <c r="B32" s="39" t="s">
        <v>93</v>
      </c>
      <c r="C32" s="40">
        <v>1280000</v>
      </c>
      <c r="D32" s="40">
        <v>1300000</v>
      </c>
      <c r="E32" s="39"/>
      <c r="F32" s="41">
        <v>812</v>
      </c>
      <c r="G32" s="42">
        <f t="shared" ref="G32:G44" si="0">C32/F32</f>
        <v>1576.3546798029556</v>
      </c>
      <c r="H32" s="43">
        <f t="shared" ref="H32:H44" si="1">C32/D32</f>
        <v>0.98461538461538467</v>
      </c>
      <c r="I32" s="30"/>
      <c r="J32" s="39" t="s">
        <v>94</v>
      </c>
      <c r="K32" s="40">
        <v>7824600</v>
      </c>
      <c r="L32" s="43">
        <f>K32/$K$37</f>
        <v>0.42</v>
      </c>
      <c r="M32" s="39"/>
      <c r="N32" s="41">
        <v>4793</v>
      </c>
      <c r="O32" s="43">
        <v>0.24</v>
      </c>
      <c r="P32" s="39" t="str">
        <f>IF(O32&gt;=0.2,"No alvo","Abaixo")</f>
        <v>No alvo</v>
      </c>
      <c r="Q32" s="30"/>
    </row>
    <row r="33" spans="1:17" ht="20.100000000000001" customHeight="1" x14ac:dyDescent="0.25">
      <c r="A33" s="30"/>
      <c r="B33" s="44" t="s">
        <v>95</v>
      </c>
      <c r="C33" s="45">
        <v>1350000</v>
      </c>
      <c r="D33" s="45">
        <v>1300000</v>
      </c>
      <c r="E33" s="44"/>
      <c r="F33" s="46">
        <v>845</v>
      </c>
      <c r="G33" s="47">
        <f t="shared" si="0"/>
        <v>1597.6331360946745</v>
      </c>
      <c r="H33" s="48">
        <f t="shared" si="1"/>
        <v>1.0384615384615385</v>
      </c>
      <c r="I33" s="30"/>
      <c r="J33" s="44" t="s">
        <v>96</v>
      </c>
      <c r="K33" s="45">
        <v>3912300</v>
      </c>
      <c r="L33" s="48">
        <f>K33/$K$37</f>
        <v>0.21</v>
      </c>
      <c r="M33" s="44"/>
      <c r="N33" s="46">
        <v>2397</v>
      </c>
      <c r="O33" s="48">
        <v>0.22</v>
      </c>
      <c r="P33" s="44" t="str">
        <f>IF(O33&gt;=0.2,"No alvo","Abaixo")</f>
        <v>No alvo</v>
      </c>
      <c r="Q33" s="30"/>
    </row>
    <row r="34" spans="1:17" ht="20.100000000000001" customHeight="1" x14ac:dyDescent="0.25">
      <c r="A34" s="30"/>
      <c r="B34" s="39" t="s">
        <v>97</v>
      </c>
      <c r="C34" s="40">
        <v>1190000</v>
      </c>
      <c r="D34" s="40">
        <v>1350000</v>
      </c>
      <c r="E34" s="39"/>
      <c r="F34" s="41">
        <v>770</v>
      </c>
      <c r="G34" s="42">
        <f t="shared" si="0"/>
        <v>1545.4545454545455</v>
      </c>
      <c r="H34" s="43">
        <f t="shared" si="1"/>
        <v>0.88148148148148153</v>
      </c>
      <c r="I34" s="30"/>
      <c r="J34" s="39" t="s">
        <v>98</v>
      </c>
      <c r="K34" s="40">
        <v>3167100</v>
      </c>
      <c r="L34" s="43">
        <f>K34/$K$37</f>
        <v>0.17</v>
      </c>
      <c r="M34" s="39"/>
      <c r="N34" s="41">
        <v>1940</v>
      </c>
      <c r="O34" s="43">
        <v>0.17</v>
      </c>
      <c r="P34" s="39" t="str">
        <f>IF(O34&gt;=0.2,"No alvo","Abaixo")</f>
        <v>Abaixo</v>
      </c>
      <c r="Q34" s="30"/>
    </row>
    <row r="35" spans="1:17" ht="20.100000000000001" customHeight="1" x14ac:dyDescent="0.25">
      <c r="A35" s="30"/>
      <c r="B35" s="44" t="s">
        <v>99</v>
      </c>
      <c r="C35" s="45">
        <v>1420000</v>
      </c>
      <c r="D35" s="45">
        <v>1350000</v>
      </c>
      <c r="E35" s="44"/>
      <c r="F35" s="46">
        <v>880</v>
      </c>
      <c r="G35" s="47">
        <f t="shared" si="0"/>
        <v>1613.6363636363637</v>
      </c>
      <c r="H35" s="48">
        <f t="shared" si="1"/>
        <v>1.0518518518518518</v>
      </c>
      <c r="I35" s="30"/>
      <c r="J35" s="44" t="s">
        <v>100</v>
      </c>
      <c r="K35" s="45">
        <v>2049300</v>
      </c>
      <c r="L35" s="48">
        <f>K35/$K$37</f>
        <v>0.11</v>
      </c>
      <c r="M35" s="44"/>
      <c r="N35" s="46">
        <v>1255</v>
      </c>
      <c r="O35" s="48">
        <v>0.21</v>
      </c>
      <c r="P35" s="44" t="str">
        <f>IF(O35&gt;=0.2,"No alvo","Abaixo")</f>
        <v>No alvo</v>
      </c>
      <c r="Q35" s="30"/>
    </row>
    <row r="36" spans="1:17" ht="20.100000000000001" customHeight="1" x14ac:dyDescent="0.25">
      <c r="A36" s="30"/>
      <c r="B36" s="39" t="s">
        <v>101</v>
      </c>
      <c r="C36" s="40">
        <v>1510000</v>
      </c>
      <c r="D36" s="40">
        <v>1400000</v>
      </c>
      <c r="E36" s="39"/>
      <c r="F36" s="41">
        <v>930</v>
      </c>
      <c r="G36" s="42">
        <f t="shared" si="0"/>
        <v>1623.6559139784947</v>
      </c>
      <c r="H36" s="43">
        <f t="shared" si="1"/>
        <v>1.0785714285714285</v>
      </c>
      <c r="I36" s="30"/>
      <c r="J36" s="39" t="s">
        <v>102</v>
      </c>
      <c r="K36" s="40">
        <v>1676700</v>
      </c>
      <c r="L36" s="43">
        <f>K36/$K$37</f>
        <v>0.09</v>
      </c>
      <c r="M36" s="39"/>
      <c r="N36" s="41">
        <v>1028</v>
      </c>
      <c r="O36" s="43">
        <v>0.15</v>
      </c>
      <c r="P36" s="39" t="str">
        <f>IF(O36&gt;=0.2,"No alvo","Abaixo")</f>
        <v>Abaixo</v>
      </c>
      <c r="Q36" s="30"/>
    </row>
    <row r="37" spans="1:17" ht="20.100000000000001" customHeight="1" x14ac:dyDescent="0.25">
      <c r="A37" s="30"/>
      <c r="B37" s="44" t="s">
        <v>103</v>
      </c>
      <c r="C37" s="45">
        <v>1480000</v>
      </c>
      <c r="D37" s="45">
        <v>1450000</v>
      </c>
      <c r="E37" s="44"/>
      <c r="F37" s="46">
        <v>905</v>
      </c>
      <c r="G37" s="47">
        <f t="shared" si="0"/>
        <v>1635.3591160220994</v>
      </c>
      <c r="H37" s="48">
        <f t="shared" si="1"/>
        <v>1.0206896551724138</v>
      </c>
      <c r="I37" s="30"/>
      <c r="J37" s="49" t="s">
        <v>104</v>
      </c>
      <c r="K37" s="50">
        <f>SUM(K32:K36)</f>
        <v>18630000</v>
      </c>
      <c r="L37" s="53">
        <f>SUM(L32:L36)</f>
        <v>1</v>
      </c>
      <c r="M37" s="49"/>
      <c r="N37" s="51">
        <f>SUM(N32:N36)</f>
        <v>11413</v>
      </c>
      <c r="O37" s="53">
        <f>SUMPRODUCT(K32:K36,O32:O36)/K37</f>
        <v>0.21249999999999999</v>
      </c>
      <c r="P37" s="49"/>
      <c r="Q37" s="30"/>
    </row>
    <row r="38" spans="1:17" ht="20.100000000000001" customHeight="1" x14ac:dyDescent="0.25">
      <c r="A38" s="30"/>
      <c r="B38" s="39" t="s">
        <v>105</v>
      </c>
      <c r="C38" s="40">
        <v>1620000</v>
      </c>
      <c r="D38" s="40">
        <v>1500000</v>
      </c>
      <c r="E38" s="39"/>
      <c r="F38" s="41">
        <v>990</v>
      </c>
      <c r="G38" s="42">
        <f t="shared" si="0"/>
        <v>1636.3636363636363</v>
      </c>
      <c r="H38" s="43">
        <f t="shared" si="1"/>
        <v>1.08</v>
      </c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20.100000000000001" customHeight="1" x14ac:dyDescent="0.25">
      <c r="A39" s="30"/>
      <c r="B39" s="44" t="s">
        <v>106</v>
      </c>
      <c r="C39" s="45">
        <v>1580000</v>
      </c>
      <c r="D39" s="45">
        <v>1550000</v>
      </c>
      <c r="E39" s="44"/>
      <c r="F39" s="46">
        <v>962</v>
      </c>
      <c r="G39" s="47">
        <f t="shared" si="0"/>
        <v>1642.4116424116423</v>
      </c>
      <c r="H39" s="48">
        <f t="shared" si="1"/>
        <v>1.0193548387096774</v>
      </c>
      <c r="I39" s="30"/>
      <c r="J39" s="30"/>
      <c r="K39" s="30"/>
      <c r="L39" s="30"/>
      <c r="M39" s="30"/>
      <c r="N39" s="30"/>
      <c r="O39" s="30"/>
      <c r="P39" s="30"/>
      <c r="Q39" s="30"/>
    </row>
    <row r="40" spans="1:17" ht="20.100000000000001" customHeight="1" x14ac:dyDescent="0.25">
      <c r="A40" s="30"/>
      <c r="B40" s="39" t="s">
        <v>107</v>
      </c>
      <c r="C40" s="40">
        <v>1710000</v>
      </c>
      <c r="D40" s="40">
        <v>1600000</v>
      </c>
      <c r="E40" s="39"/>
      <c r="F40" s="41">
        <v>1035</v>
      </c>
      <c r="G40" s="42">
        <f t="shared" si="0"/>
        <v>1652.1739130434783</v>
      </c>
      <c r="H40" s="43">
        <f t="shared" si="1"/>
        <v>1.0687500000000001</v>
      </c>
      <c r="I40" s="30"/>
      <c r="J40" s="30"/>
      <c r="K40" s="30"/>
      <c r="L40" s="30"/>
      <c r="M40" s="30"/>
      <c r="N40" s="30"/>
      <c r="O40" s="30"/>
      <c r="P40" s="30"/>
      <c r="Q40" s="30"/>
    </row>
    <row r="41" spans="1:17" ht="20.100000000000001" customHeight="1" x14ac:dyDescent="0.25">
      <c r="A41" s="30"/>
      <c r="B41" s="44" t="s">
        <v>108</v>
      </c>
      <c r="C41" s="45">
        <v>1690000</v>
      </c>
      <c r="D41" s="45">
        <v>1650000</v>
      </c>
      <c r="E41" s="44"/>
      <c r="F41" s="46">
        <v>1018</v>
      </c>
      <c r="G41" s="47">
        <f t="shared" si="0"/>
        <v>1660.1178781925344</v>
      </c>
      <c r="H41" s="48">
        <f t="shared" si="1"/>
        <v>1.0242424242424242</v>
      </c>
      <c r="I41" s="30"/>
      <c r="J41" s="30"/>
      <c r="K41" s="30"/>
      <c r="L41" s="30"/>
      <c r="M41" s="30"/>
      <c r="N41" s="30"/>
      <c r="O41" s="30"/>
      <c r="P41" s="30"/>
      <c r="Q41" s="30"/>
    </row>
    <row r="42" spans="1:17" ht="20.100000000000001" customHeight="1" x14ac:dyDescent="0.25">
      <c r="A42" s="30"/>
      <c r="B42" s="39" t="s">
        <v>109</v>
      </c>
      <c r="C42" s="40">
        <v>1840000</v>
      </c>
      <c r="D42" s="40">
        <v>1700000</v>
      </c>
      <c r="E42" s="39"/>
      <c r="F42" s="41">
        <v>1102</v>
      </c>
      <c r="G42" s="42">
        <f t="shared" si="0"/>
        <v>1669.6914700544464</v>
      </c>
      <c r="H42" s="43">
        <f t="shared" si="1"/>
        <v>1.0823529411764705</v>
      </c>
      <c r="I42" s="30"/>
      <c r="J42" s="30"/>
      <c r="K42" s="30"/>
      <c r="L42" s="30"/>
      <c r="M42" s="30"/>
      <c r="N42" s="30"/>
      <c r="O42" s="30"/>
      <c r="P42" s="30"/>
      <c r="Q42" s="30"/>
    </row>
    <row r="43" spans="1:17" ht="20.100000000000001" customHeight="1" x14ac:dyDescent="0.25">
      <c r="A43" s="30"/>
      <c r="B43" s="44" t="s">
        <v>110</v>
      </c>
      <c r="C43" s="45">
        <v>1960000</v>
      </c>
      <c r="D43" s="45">
        <v>1800000</v>
      </c>
      <c r="E43" s="44"/>
      <c r="F43" s="46">
        <v>1164</v>
      </c>
      <c r="G43" s="47">
        <f t="shared" si="0"/>
        <v>1683.8487972508592</v>
      </c>
      <c r="H43" s="48">
        <f t="shared" si="1"/>
        <v>1.0888888888888888</v>
      </c>
      <c r="I43" s="30"/>
      <c r="J43" s="30"/>
      <c r="K43" s="30"/>
      <c r="L43" s="30"/>
      <c r="M43" s="30"/>
      <c r="N43" s="30"/>
      <c r="O43" s="30"/>
      <c r="P43" s="30"/>
      <c r="Q43" s="30"/>
    </row>
    <row r="44" spans="1:17" ht="20.100000000000001" customHeight="1" x14ac:dyDescent="0.25">
      <c r="A44" s="30"/>
      <c r="B44" s="49" t="s">
        <v>104</v>
      </c>
      <c r="C44" s="50">
        <f>SUM(C32:C43)</f>
        <v>18630000</v>
      </c>
      <c r="D44" s="50">
        <f>SUM(D32:D43)</f>
        <v>17950000</v>
      </c>
      <c r="E44" s="49"/>
      <c r="F44" s="51">
        <f>SUM(F32:F43)</f>
        <v>11413</v>
      </c>
      <c r="G44" s="52">
        <f t="shared" si="0"/>
        <v>1632.3490756155261</v>
      </c>
      <c r="H44" s="53">
        <f t="shared" si="1"/>
        <v>1.037883008356546</v>
      </c>
      <c r="I44" s="30"/>
      <c r="J44" s="30"/>
      <c r="K44" s="30"/>
      <c r="L44" s="30"/>
      <c r="M44" s="30"/>
      <c r="N44" s="30"/>
      <c r="O44" s="30"/>
      <c r="P44" s="30"/>
      <c r="Q44" s="30"/>
    </row>
    <row r="45" spans="1:17" ht="8.1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</sheetData>
  <mergeCells count="17">
    <mergeCell ref="O8:P8"/>
    <mergeCell ref="B30:H30"/>
    <mergeCell ref="J30:P30"/>
    <mergeCell ref="C8:D8"/>
    <mergeCell ref="F6:H6"/>
    <mergeCell ref="F7:H7"/>
    <mergeCell ref="G8:H8"/>
    <mergeCell ref="J6:L6"/>
    <mergeCell ref="J7:L7"/>
    <mergeCell ref="K8:L8"/>
    <mergeCell ref="B2:H2"/>
    <mergeCell ref="N2:P2"/>
    <mergeCell ref="B3:H3"/>
    <mergeCell ref="B6:D6"/>
    <mergeCell ref="B7:D7"/>
    <mergeCell ref="N6:P6"/>
    <mergeCell ref="N7:P7"/>
  </mergeCells>
  <conditionalFormatting sqref="B8">
    <cfRule type="cellIs" dxfId="11" priority="1" operator="greaterThanOrEqual">
      <formula>0</formula>
    </cfRule>
    <cfRule type="cellIs" dxfId="10" priority="2" operator="lessThan">
      <formula>0</formula>
    </cfRule>
  </conditionalFormatting>
  <conditionalFormatting sqref="F8">
    <cfRule type="cellIs" dxfId="9" priority="3" operator="greaterThanOrEqual">
      <formula>0</formula>
    </cfRule>
    <cfRule type="cellIs" dxfId="8" priority="4" operator="lessThan">
      <formula>0</formula>
    </cfRule>
  </conditionalFormatting>
  <conditionalFormatting sqref="H32:H43">
    <cfRule type="cellIs" dxfId="7" priority="9" operator="greaterThanOrEqual">
      <formula>1</formula>
    </cfRule>
    <cfRule type="cellIs" dxfId="6" priority="10" operator="lessThan">
      <formula>1</formula>
    </cfRule>
  </conditionalFormatting>
  <conditionalFormatting sqref="J8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K32:K36">
    <cfRule type="dataBar" priority="13">
      <dataBar>
        <cfvo type="min"/>
        <cfvo type="max"/>
        <color rgb="FF38BDF8"/>
      </dataBar>
    </cfRule>
  </conditionalFormatting>
  <conditionalFormatting sqref="N8">
    <cfRule type="cellIs" dxfId="3" priority="7" operator="greaterThanOrEqual">
      <formula>0</formula>
    </cfRule>
    <cfRule type="cellIs" dxfId="2" priority="8" operator="lessThan">
      <formula>0</formula>
    </cfRule>
  </conditionalFormatting>
  <conditionalFormatting sqref="P32:P36">
    <cfRule type="cellIs" dxfId="1" priority="11" operator="equal">
      <formula>"No alvo"</formula>
    </cfRule>
    <cfRule type="cellIs" dxfId="0" priority="12" operator="equal">
      <formula>"Abaixo"</formula>
    </cfRule>
  </conditionalFormatting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GraficosBasicos">
    <pageSetUpPr fitToPage="1"/>
  </sheetPr>
  <dimension ref="A1:G11"/>
  <sheetViews>
    <sheetView workbookViewId="0"/>
  </sheetViews>
  <sheetFormatPr defaultRowHeight="15" x14ac:dyDescent="0.25"/>
  <cols>
    <col min="1" max="1" width="12.7109375" bestFit="1"/>
  </cols>
  <sheetData>
    <row r="1" spans="1:7" x14ac:dyDescent="0.25">
      <c r="A1" t="s">
        <v>83</v>
      </c>
      <c r="B1" t="s">
        <v>94</v>
      </c>
      <c r="C1" t="s">
        <v>96</v>
      </c>
      <c r="D1" t="s">
        <v>98</v>
      </c>
      <c r="F1" t="s">
        <v>111</v>
      </c>
      <c r="G1" t="s">
        <v>112</v>
      </c>
    </row>
    <row r="2" spans="1:7" x14ac:dyDescent="0.25">
      <c r="A2" t="s">
        <v>93</v>
      </c>
      <c r="B2">
        <v>100</v>
      </c>
      <c r="C2">
        <v>80</v>
      </c>
      <c r="D2">
        <v>60</v>
      </c>
      <c r="F2">
        <v>18</v>
      </c>
      <c r="G2">
        <v>12</v>
      </c>
    </row>
    <row r="3" spans="1:7" x14ac:dyDescent="0.25">
      <c r="A3" t="s">
        <v>95</v>
      </c>
      <c r="B3">
        <v>120</v>
      </c>
      <c r="C3">
        <v>70</v>
      </c>
      <c r="D3">
        <v>75</v>
      </c>
      <c r="F3">
        <v>20</v>
      </c>
      <c r="G3">
        <v>15</v>
      </c>
    </row>
    <row r="4" spans="1:7" x14ac:dyDescent="0.25">
      <c r="A4" t="s">
        <v>97</v>
      </c>
      <c r="B4">
        <v>90</v>
      </c>
      <c r="C4">
        <v>95</v>
      </c>
      <c r="D4">
        <v>70</v>
      </c>
      <c r="F4">
        <v>22</v>
      </c>
      <c r="G4">
        <v>20</v>
      </c>
    </row>
    <row r="5" spans="1:7" x14ac:dyDescent="0.25">
      <c r="A5" t="s">
        <v>99</v>
      </c>
      <c r="B5">
        <v>140</v>
      </c>
      <c r="C5">
        <v>85</v>
      </c>
      <c r="D5">
        <v>90</v>
      </c>
      <c r="F5">
        <v>24</v>
      </c>
      <c r="G5">
        <v>26</v>
      </c>
    </row>
    <row r="6" spans="1:7" x14ac:dyDescent="0.25">
      <c r="A6" t="s">
        <v>101</v>
      </c>
      <c r="B6">
        <v>160</v>
      </c>
      <c r="C6">
        <v>110</v>
      </c>
      <c r="D6">
        <v>95</v>
      </c>
      <c r="F6">
        <v>26</v>
      </c>
      <c r="G6">
        <v>30</v>
      </c>
    </row>
    <row r="7" spans="1:7" x14ac:dyDescent="0.25">
      <c r="A7" t="s">
        <v>103</v>
      </c>
      <c r="B7">
        <v>150</v>
      </c>
      <c r="C7">
        <v>105</v>
      </c>
      <c r="D7">
        <v>120</v>
      </c>
      <c r="F7">
        <v>28</v>
      </c>
      <c r="G7">
        <v>38</v>
      </c>
    </row>
    <row r="8" spans="1:7" x14ac:dyDescent="0.25">
      <c r="F8">
        <v>30</v>
      </c>
      <c r="G8">
        <v>45</v>
      </c>
    </row>
    <row r="9" spans="1:7" x14ac:dyDescent="0.25">
      <c r="F9">
        <v>32</v>
      </c>
      <c r="G9">
        <v>50</v>
      </c>
    </row>
    <row r="10" spans="1:7" x14ac:dyDescent="0.25">
      <c r="F10">
        <v>34</v>
      </c>
      <c r="G10">
        <v>58</v>
      </c>
    </row>
    <row r="11" spans="1:7" x14ac:dyDescent="0.25">
      <c r="F11">
        <v>36</v>
      </c>
      <c r="G11">
        <v>65</v>
      </c>
    </row>
  </sheetData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GraficosAvancados">
    <pageSetUpPr fitToPage="1"/>
  </sheetPr>
  <dimension ref="A1:N7"/>
  <sheetViews>
    <sheetView workbookViewId="0"/>
  </sheetViews>
  <sheetFormatPr defaultRowHeight="15" x14ac:dyDescent="0.25"/>
  <cols>
    <col min="1" max="1" width="12.7109375" bestFit="1"/>
  </cols>
  <sheetData>
    <row r="1" spans="1:14" x14ac:dyDescent="0.25">
      <c r="A1" t="s">
        <v>83</v>
      </c>
      <c r="B1" t="s">
        <v>94</v>
      </c>
      <c r="C1" t="s">
        <v>96</v>
      </c>
      <c r="D1" t="s">
        <v>98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L1" t="s">
        <v>118</v>
      </c>
      <c r="M1" t="s">
        <v>119</v>
      </c>
      <c r="N1" t="s">
        <v>120</v>
      </c>
    </row>
    <row r="2" spans="1:14" x14ac:dyDescent="0.25">
      <c r="A2" t="s">
        <v>93</v>
      </c>
      <c r="B2">
        <v>100</v>
      </c>
      <c r="C2">
        <v>80</v>
      </c>
      <c r="D2">
        <v>60</v>
      </c>
      <c r="F2">
        <v>1</v>
      </c>
      <c r="G2">
        <v>50</v>
      </c>
      <c r="H2">
        <v>55</v>
      </c>
      <c r="I2">
        <v>48</v>
      </c>
      <c r="J2">
        <v>53</v>
      </c>
      <c r="L2">
        <v>10</v>
      </c>
      <c r="M2">
        <v>30</v>
      </c>
      <c r="N2">
        <v>5</v>
      </c>
    </row>
    <row r="3" spans="1:14" x14ac:dyDescent="0.25">
      <c r="A3" t="s">
        <v>95</v>
      </c>
      <c r="B3">
        <v>120</v>
      </c>
      <c r="C3">
        <v>70</v>
      </c>
      <c r="D3">
        <v>75</v>
      </c>
      <c r="F3">
        <v>2</v>
      </c>
      <c r="G3">
        <v>53</v>
      </c>
      <c r="H3">
        <v>56</v>
      </c>
      <c r="I3">
        <v>50</v>
      </c>
      <c r="J3">
        <v>51</v>
      </c>
      <c r="L3">
        <v>20</v>
      </c>
      <c r="M3">
        <v>45</v>
      </c>
      <c r="N3">
        <v>10</v>
      </c>
    </row>
    <row r="4" spans="1:14" x14ac:dyDescent="0.25">
      <c r="A4" t="s">
        <v>97</v>
      </c>
      <c r="B4">
        <v>90</v>
      </c>
      <c r="C4">
        <v>95</v>
      </c>
      <c r="D4">
        <v>70</v>
      </c>
      <c r="F4">
        <v>3</v>
      </c>
      <c r="G4">
        <v>51</v>
      </c>
      <c r="H4">
        <v>56</v>
      </c>
      <c r="I4">
        <v>49</v>
      </c>
      <c r="J4">
        <v>55</v>
      </c>
      <c r="L4">
        <v>30</v>
      </c>
      <c r="M4">
        <v>25</v>
      </c>
      <c r="N4">
        <v>7</v>
      </c>
    </row>
    <row r="5" spans="1:14" x14ac:dyDescent="0.25">
      <c r="A5" t="s">
        <v>99</v>
      </c>
      <c r="B5">
        <v>140</v>
      </c>
      <c r="C5">
        <v>85</v>
      </c>
      <c r="D5">
        <v>90</v>
      </c>
      <c r="F5">
        <v>4</v>
      </c>
      <c r="G5">
        <v>55</v>
      </c>
      <c r="H5">
        <v>60</v>
      </c>
      <c r="I5">
        <v>53</v>
      </c>
      <c r="J5">
        <v>58</v>
      </c>
      <c r="L5">
        <v>40</v>
      </c>
      <c r="M5">
        <v>60</v>
      </c>
      <c r="N5">
        <v>15</v>
      </c>
    </row>
    <row r="6" spans="1:14" x14ac:dyDescent="0.25">
      <c r="A6" t="s">
        <v>101</v>
      </c>
      <c r="B6">
        <v>160</v>
      </c>
      <c r="C6">
        <v>110</v>
      </c>
      <c r="D6">
        <v>95</v>
      </c>
      <c r="F6">
        <v>5</v>
      </c>
      <c r="G6">
        <v>58</v>
      </c>
      <c r="H6">
        <v>61</v>
      </c>
      <c r="I6">
        <v>55</v>
      </c>
      <c r="J6">
        <v>57</v>
      </c>
      <c r="L6">
        <v>50</v>
      </c>
      <c r="M6">
        <v>40</v>
      </c>
      <c r="N6">
        <v>9</v>
      </c>
    </row>
    <row r="7" spans="1:14" x14ac:dyDescent="0.25">
      <c r="A7" t="s">
        <v>103</v>
      </c>
      <c r="B7">
        <v>150</v>
      </c>
      <c r="C7">
        <v>105</v>
      </c>
      <c r="D7">
        <v>120</v>
      </c>
      <c r="F7">
        <v>6</v>
      </c>
      <c r="G7">
        <v>57</v>
      </c>
      <c r="H7">
        <v>60</v>
      </c>
      <c r="I7">
        <v>54</v>
      </c>
      <c r="J7">
        <v>59</v>
      </c>
      <c r="L7">
        <v>60</v>
      </c>
      <c r="M7">
        <v>70</v>
      </c>
      <c r="N7">
        <v>12</v>
      </c>
    </row>
  </sheetData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GraficoCombinado">
    <pageSetUpPr fitToPage="1"/>
  </sheetPr>
  <dimension ref="A1:C7"/>
  <sheetViews>
    <sheetView workbookViewId="0"/>
  </sheetViews>
  <sheetFormatPr defaultRowHeight="15" x14ac:dyDescent="0.25"/>
  <cols>
    <col min="1" max="1" width="12.7109375" bestFit="1"/>
  </cols>
  <sheetData>
    <row r="1" spans="1:3" x14ac:dyDescent="0.25">
      <c r="A1" t="s">
        <v>83</v>
      </c>
      <c r="B1" t="s">
        <v>121</v>
      </c>
      <c r="C1" t="s">
        <v>91</v>
      </c>
    </row>
    <row r="2" spans="1:3" x14ac:dyDescent="0.25">
      <c r="A2" t="s">
        <v>93</v>
      </c>
      <c r="B2">
        <v>100</v>
      </c>
      <c r="C2">
        <v>0.15</v>
      </c>
    </row>
    <row r="3" spans="1:3" x14ac:dyDescent="0.25">
      <c r="A3" t="s">
        <v>95</v>
      </c>
      <c r="B3">
        <v>120</v>
      </c>
      <c r="C3">
        <v>0.18</v>
      </c>
    </row>
    <row r="4" spans="1:3" x14ac:dyDescent="0.25">
      <c r="A4" t="s">
        <v>97</v>
      </c>
      <c r="B4">
        <v>90</v>
      </c>
      <c r="C4">
        <v>0.12</v>
      </c>
    </row>
    <row r="5" spans="1:3" x14ac:dyDescent="0.25">
      <c r="A5" t="s">
        <v>99</v>
      </c>
      <c r="B5">
        <v>140</v>
      </c>
      <c r="C5">
        <v>0.2</v>
      </c>
    </row>
    <row r="6" spans="1:3" x14ac:dyDescent="0.25">
      <c r="A6" t="s">
        <v>101</v>
      </c>
      <c r="B6">
        <v>160</v>
      </c>
      <c r="C6">
        <v>0.22</v>
      </c>
    </row>
    <row r="7" spans="1:3" x14ac:dyDescent="0.25">
      <c r="A7" t="s">
        <v>103</v>
      </c>
      <c r="B7">
        <v>150</v>
      </c>
      <c r="C7">
        <v>0.19</v>
      </c>
    </row>
  </sheetData>
  <pageMargins left="0.511811024" right="0.511811024" top="0.78740157499999996" bottom="0.78740157499999996" header="0.31496062000000002" footer="0.31496062000000002"/>
  <pageSetup paperSize="9" fitToHeight="0" orientation="portrait"/>
  <headerFooter>
    <oddFooter>&amp;LTOTVS&amp;RPágina 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14</vt:i4>
      </vt:variant>
    </vt:vector>
  </HeadingPairs>
  <TitlesOfParts>
    <vt:vector size="24" baseType="lpstr">
      <vt:lpstr>Planilha1</vt:lpstr>
      <vt:lpstr>Teste</vt:lpstr>
      <vt:lpstr>Tabela</vt:lpstr>
      <vt:lpstr>SB1</vt:lpstr>
      <vt:lpstr>SA1</vt:lpstr>
      <vt:lpstr>FormatCondAvancada</vt:lpstr>
      <vt:lpstr>Dashboard</vt:lpstr>
      <vt:lpstr>GraficosBasicos</vt:lpstr>
      <vt:lpstr>GraficosAvancados</vt:lpstr>
      <vt:lpstr>GraficoCombinado</vt:lpstr>
      <vt:lpstr>Tabela!Titulos_de_impressao</vt:lpstr>
      <vt:lpstr>VALOR1</vt:lpstr>
      <vt:lpstr>VALORES</vt:lpstr>
      <vt:lpstr>VENDA1</vt:lpstr>
      <vt:lpstr>VENDA10</vt:lpstr>
      <vt:lpstr>VENDA11</vt:lpstr>
      <vt:lpstr>VENDA2</vt:lpstr>
      <vt:lpstr>VENDA3</vt:lpstr>
      <vt:lpstr>VENDA4</vt:lpstr>
      <vt:lpstr>VENDA5</vt:lpstr>
      <vt:lpstr>VENDA6</vt:lpstr>
      <vt:lpstr>VENDA7</vt:lpstr>
      <vt:lpstr>VENDA8</vt:lpstr>
      <vt:lpstr>VENDA9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Totvs - Protheus</dc:creator>
  <cp:lastModifiedBy>Saulo Gomes Martins</cp:lastModifiedBy>
  <dcterms:created xsi:type="dcterms:W3CDTF">2026-10-26T19:08:45Z</dcterms:created>
  <dcterms:modified xsi:type="dcterms:W3CDTF">2026-10-26T19:21:06Z</dcterms:modified>
</cp:coreProperties>
</file>